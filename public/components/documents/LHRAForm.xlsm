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Buku_Kerja_Ini" defaultThemeVersion="166925"/>
  <mc:AlternateContent xmlns:mc="http://schemas.openxmlformats.org/markup-compatibility/2006">
    <mc:Choice Requires="x15">
      <x15ac:absPath xmlns:x15ac="http://schemas.microsoft.com/office/spreadsheetml/2010/11/ac" url="https://gwadestek-my.sharepoint.com/personal/malik_gwadestek_com/Documents/Documents/DOKUMEN KERJA/1 FILE PROYEK/47 JSB/standar Reference/"/>
    </mc:Choice>
  </mc:AlternateContent>
  <xr:revisionPtr revIDLastSave="111" documentId="13_ncr:1_{522367BC-E16F-4899-A673-C2C90A442624}" xr6:coauthVersionLast="47" xr6:coauthVersionMax="47" xr10:uidLastSave="{7CBC1A3B-0E26-416C-9DB2-73A34CE84F24}"/>
  <bookViews>
    <workbookView xWindow="-120" yWindow="-120" windowWidth="29040" windowHeight="15720" firstSheet="2" activeTab="2" xr2:uid="{835F00A6-A4F6-49B1-9523-598B99DE2611}"/>
  </bookViews>
  <sheets>
    <sheet name="CHECKLIST RATING 1" sheetId="8" state="hidden" r:id="rId1"/>
    <sheet name="reting" sheetId="6" state="hidden" r:id="rId2"/>
    <sheet name="FORM RATING" sheetId="7" r:id="rId3"/>
    <sheet name="Data" sheetId="11" state="hidden" r:id="rId4"/>
    <sheet name="Sheet2" sheetId="2" state="hidden" r:id="rId5"/>
  </sheets>
  <externalReferences>
    <externalReference r:id="rId6"/>
  </externalReferences>
  <definedNames>
    <definedName name="ER_1" localSheetId="0">'CHECKLIST RATING 1'!$P$5</definedName>
    <definedName name="ER_1">reting!$Q$5</definedName>
    <definedName name="ER_2" localSheetId="0">'CHECKLIST RATING 1'!$P$6:$P$8</definedName>
    <definedName name="ER_2">reting!$Q$6:$Q$8</definedName>
    <definedName name="ER_3" localSheetId="0">'CHECKLIST RATING 1'!$P$9:$P$11</definedName>
    <definedName name="ER_3">reting!$Q$9:$Q$11</definedName>
    <definedName name="ER_4" localSheetId="0">'CHECKLIST RATING 1'!$P$12:$P$14</definedName>
    <definedName name="ER_4">reting!$Q$12:$Q$14</definedName>
    <definedName name="PPr_1" localSheetId="0">'CHECKLIST RATING 1'!$P$41:$P$44</definedName>
    <definedName name="PPr_1">reting!$Q$41:$Q$44</definedName>
    <definedName name="PPr_2" localSheetId="0">'CHECKLIST RATING 1'!$P$45:$P$50</definedName>
    <definedName name="PPr_2">reting!$Q$45:$Q$50</definedName>
    <definedName name="PPr_3" localSheetId="0">'CHECKLIST RATING 1'!$P$51:$P$54</definedName>
    <definedName name="PPr_3">reting!$Q$51:$Q$54</definedName>
    <definedName name="PPs_1" localSheetId="0">'CHECKLIST RATING 1'!$P$27:$P$31</definedName>
    <definedName name="PPs_1">reting!$Q$27:$Q$31</definedName>
    <definedName name="PPs_2" localSheetId="0">'CHECKLIST RATING 1'!$P$32:$P$36</definedName>
    <definedName name="PPs_2">reting!$Q$32:$Q$36</definedName>
    <definedName name="PPs_3" localSheetId="0">'CHECKLIST RATING 1'!$P$37:$P$40</definedName>
    <definedName name="PPs_3">reting!$Q$37:$Q$40</definedName>
    <definedName name="_xlnm.Print_Area" localSheetId="2">'FORM RATING'!$B$2:$N$64</definedName>
    <definedName name="_xlnm.Print_Titles" localSheetId="2">'FORM RATING'!$2:$15</definedName>
    <definedName name="rocktype" localSheetId="0">'CHECKLIST RATING 1'!$I$5:$I$13</definedName>
    <definedName name="rocktype">reting!$J$5:$J$13</definedName>
    <definedName name="SC_1" localSheetId="0">'CHECKLIST RATING 1'!$I$53:$I$57</definedName>
    <definedName name="SC_1">reting!$J$53:$J$57</definedName>
    <definedName name="SC_2" localSheetId="0">'CHECKLIST RATING 1'!$I$58:$I$60</definedName>
    <definedName name="SC_2">reting!$J$58:$J$60</definedName>
    <definedName name="SC_3" localSheetId="0">'CHECKLIST RATING 1'!$I$61:$I$66</definedName>
    <definedName name="SC_3">reting!$J$61:$J$66</definedName>
    <definedName name="SC_4" localSheetId="0">'CHECKLIST RATING 1'!$I$67:$I$69</definedName>
    <definedName name="SC_4">reting!$J$67:$J$69</definedName>
    <definedName name="SC_5" localSheetId="0">'CHECKLIST RATING 1'!$I$70:$I$73</definedName>
    <definedName name="SC_5">reting!$J$70:$J$73</definedName>
    <definedName name="SC_6" localSheetId="0">'CHECKLIST RATING 1'!$I$74:$I$77</definedName>
    <definedName name="SC_6">reting!$J$74:$J$77</definedName>
    <definedName name="SC_7" localSheetId="0">'CHECKLIST RATING 1'!$I$78:$I$81</definedName>
    <definedName name="SC_7">reting!$J$78:$J$81</definedName>
    <definedName name="SC_8" localSheetId="0">'CHECKLIST RATING 1'!$I$82:$I$85</definedName>
    <definedName name="SC_8">reting!$J$82:$J$85</definedName>
    <definedName name="SCo_1" localSheetId="0">'CHECKLIST RATING 1'!$P$19:$P$23</definedName>
    <definedName name="SCo_1">reting!$Q$19:$Q$23</definedName>
    <definedName name="SH" localSheetId="0">'CHECKLIST RATING 1'!$P$58:$P$61</definedName>
    <definedName name="SH">reting!$Q$58:$Q$61</definedName>
    <definedName name="slopename" localSheetId="3">OFFSET([1]Sheet2!$C$2,0,0,COUNTA([1]Sheet2!$C$2:$C$31),1)</definedName>
    <definedName name="slopename">OFFSET(Sheet2!$C$2,0,0,COUNTA(Sheet2!$C$2:$C$31),1)</definedName>
    <definedName name="SoilType" localSheetId="0">'CHECKLIST RATING 1'!$I$14:$I$18</definedName>
    <definedName name="SoilType">reting!$J$14:$J$18</definedName>
    <definedName name="ST_1" localSheetId="0">'CHECKLIST RATING 1'!$I$31:$I$35</definedName>
    <definedName name="ST_1">reting!$J$31:$J$35</definedName>
    <definedName name="ST_2" localSheetId="0">'CHECKLIST RATING 1'!$I$36:$I$40</definedName>
    <definedName name="ST_2">reting!$J$36:$J$40</definedName>
    <definedName name="ST_3" localSheetId="0">'CHECKLIST RATING 1'!$I$41:$I$45</definedName>
    <definedName name="ST_3">reting!$J$41:$J$45</definedName>
    <definedName name="ST_4" localSheetId="0">'CHECKLIST RATING 1'!$I$46:$I$49</definedName>
    <definedName name="ST_4">reting!$J$46:$J$49</definedName>
    <definedName name="weather" localSheetId="0">'CHECKLIST RATING 1'!$I$22:$I$27</definedName>
    <definedName name="weather">reting!$J$22:$J$27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9" i="7" l="1"/>
  <c r="N28" i="7"/>
  <c r="N54" i="7"/>
  <c r="N53" i="7"/>
  <c r="N52" i="7"/>
  <c r="N51" i="7"/>
  <c r="N50" i="7"/>
  <c r="N49" i="7"/>
  <c r="N47" i="7"/>
  <c r="N45" i="7"/>
  <c r="N44" i="7"/>
  <c r="N43" i="7"/>
  <c r="N42" i="7"/>
  <c r="N40" i="7"/>
  <c r="N39" i="7"/>
  <c r="N38" i="7"/>
  <c r="N37" i="7"/>
  <c r="N35" i="7"/>
  <c r="N34" i="7"/>
  <c r="N33" i="7"/>
  <c r="N32" i="7"/>
  <c r="N31" i="7"/>
  <c r="N30" i="7"/>
  <c r="N29" i="7"/>
  <c r="N26" i="7"/>
  <c r="N25" i="7"/>
  <c r="N23" i="7"/>
  <c r="N21" i="7"/>
  <c r="N17" i="7"/>
  <c r="N16" i="7"/>
  <c r="N58" i="7" l="1"/>
  <c r="L61" i="7" s="1"/>
  <c r="D14" i="8"/>
  <c r="L60" i="7"/>
  <c r="D14" i="6" l="1"/>
</calcChain>
</file>

<file path=xl/sharedStrings.xml><?xml version="1.0" encoding="utf-8"?>
<sst xmlns="http://schemas.openxmlformats.org/spreadsheetml/2006/main" count="843" uniqueCount="437">
  <si>
    <t>FORM 1</t>
  </si>
  <si>
    <t>Slope Name</t>
  </si>
  <si>
    <t>Date</t>
  </si>
  <si>
    <t>Slope ID</t>
  </si>
  <si>
    <t>Location</t>
  </si>
  <si>
    <t>STA</t>
  </si>
  <si>
    <t>-</t>
  </si>
  <si>
    <t>GPS Coordinate</t>
  </si>
  <si>
    <t>S</t>
  </si>
  <si>
    <t>Slide of Road</t>
  </si>
  <si>
    <t>E</t>
  </si>
  <si>
    <t>Soil Type</t>
  </si>
  <si>
    <t>Soft Rock</t>
  </si>
  <si>
    <t>Slope Condition</t>
  </si>
  <si>
    <t>Ground Water</t>
  </si>
  <si>
    <t>Erotion</t>
  </si>
  <si>
    <t>Sheet Erotion</t>
  </si>
  <si>
    <t>Rill Erotion</t>
  </si>
  <si>
    <t>Guly Erotion</t>
  </si>
  <si>
    <t>Drainage</t>
  </si>
  <si>
    <t>Seepege From Slope Face or Ground</t>
  </si>
  <si>
    <t>Natural surface Runoff</t>
  </si>
  <si>
    <t>Ponding Water Nearby</t>
  </si>
  <si>
    <t>Bio-Engineering Works</t>
  </si>
  <si>
    <t>Engineering Works</t>
  </si>
  <si>
    <t>Deformation</t>
  </si>
  <si>
    <t>Seepage</t>
  </si>
  <si>
    <t>Failure</t>
  </si>
  <si>
    <t xml:space="preserve"> LHRA Factor and Max. Hazard Rating</t>
  </si>
  <si>
    <t>Sub-Factor for Erotion</t>
  </si>
  <si>
    <t>Factor</t>
  </si>
  <si>
    <t>Max. Hazard Rating</t>
  </si>
  <si>
    <t>Sub-Factor</t>
  </si>
  <si>
    <t>Variable</t>
  </si>
  <si>
    <t>Rating</t>
  </si>
  <si>
    <t>Lithology</t>
  </si>
  <si>
    <t>Rock Type</t>
  </si>
  <si>
    <t>Quartzite and limestone</t>
  </si>
  <si>
    <t>No appreciable erosion</t>
  </si>
  <si>
    <t>Degree of weathering</t>
  </si>
  <si>
    <t>Granite and gabbro</t>
  </si>
  <si>
    <t>Sheet erosion</t>
  </si>
  <si>
    <t>Minor</t>
  </si>
  <si>
    <t>Structure</t>
  </si>
  <si>
    <t>Gneiss</t>
  </si>
  <si>
    <t>Moderate</t>
  </si>
  <si>
    <t>Slope condition</t>
  </si>
  <si>
    <t>Well-cemented ferrigenuous sedimentary rocks,dominantly sandstones with minor beds of claystone</t>
  </si>
  <si>
    <t>Severe</t>
  </si>
  <si>
    <t>Hydrology</t>
  </si>
  <si>
    <t>Poorly cemented terrigenuous sedimentary rocks, dominantly sand with clayey shale beds</t>
  </si>
  <si>
    <t>Rill erosion</t>
  </si>
  <si>
    <t>Erosion</t>
  </si>
  <si>
    <t>Salt and phyllite</t>
  </si>
  <si>
    <t>Physical / engineering properties</t>
  </si>
  <si>
    <t>Schist</t>
  </si>
  <si>
    <t>Land use and land cover</t>
  </si>
  <si>
    <t>Shale with interbeded sandstone and quartzite</t>
  </si>
  <si>
    <t>Gully erosion</t>
  </si>
  <si>
    <t>Slope history</t>
  </si>
  <si>
    <t>Highly weathered shale, phyllite and schist typically with 60% of salt</t>
  </si>
  <si>
    <t>Total</t>
  </si>
  <si>
    <t>Older well-compacted fluvial fill material (alluvial)</t>
  </si>
  <si>
    <t>Clayey soil with naturally formed surface (eluvial)</t>
  </si>
  <si>
    <t>Sandy soil with naturally formed surface (alluvial) Debris comprising mostly rock pieces mixed with clayey / sandy soil (colluvial):</t>
  </si>
  <si>
    <t xml:space="preserve"> Hazard values and ratings </t>
  </si>
  <si>
    <t>Older well compacted sandy soil</t>
  </si>
  <si>
    <t>Sub-Factor for Slope Cover</t>
  </si>
  <si>
    <t>Hazard ratings</t>
  </si>
  <si>
    <t>Hazard values</t>
  </si>
  <si>
    <t>Younger loose material sandy soil or mining material</t>
  </si>
  <si>
    <t>Very High Hazard</t>
  </si>
  <si>
    <t>&gt; 32.0</t>
  </si>
  <si>
    <t>Slope Cover</t>
  </si>
  <si>
    <t>Thickly vegetated area</t>
  </si>
  <si>
    <t>High Hazard</t>
  </si>
  <si>
    <t>26.6 – 31.9</t>
  </si>
  <si>
    <t>Moderately vegetated area</t>
  </si>
  <si>
    <t>Moderate Hazard</t>
  </si>
  <si>
    <t>20.4 – 26.5</t>
  </si>
  <si>
    <t>Artificially and vegetated area</t>
  </si>
  <si>
    <t>Low Hazard</t>
  </si>
  <si>
    <t>14.1 – 20.3</t>
  </si>
  <si>
    <t>Fresh</t>
  </si>
  <si>
    <t>Artificial covers</t>
  </si>
  <si>
    <t>Very Low Hazard</t>
  </si>
  <si>
    <t>&lt; 14.0</t>
  </si>
  <si>
    <t>Slightly weathered</t>
  </si>
  <si>
    <t>No cover</t>
  </si>
  <si>
    <t>Moderately weathered</t>
  </si>
  <si>
    <t>Highly weathered</t>
  </si>
  <si>
    <t>Sub-Factor for Physical Properties</t>
  </si>
  <si>
    <t>Extremely weathered</t>
  </si>
  <si>
    <t>Residual soil</t>
  </si>
  <si>
    <t xml:space="preserve">Physical properties </t>
  </si>
  <si>
    <t>Value of c (kN/m2)</t>
  </si>
  <si>
    <t>No</t>
  </si>
  <si>
    <t>of Soil slope;</t>
  </si>
  <si>
    <t>&lt; 6 kN/m2</t>
  </si>
  <si>
    <t>6 - 12 kN/m2</t>
  </si>
  <si>
    <t>12 - 18 kN/m2</t>
  </si>
  <si>
    <t>Spacing of</t>
  </si>
  <si>
    <t>&gt; 2m</t>
  </si>
  <si>
    <t>&gt; 18 kN/m2</t>
  </si>
  <si>
    <t>discontinuities;</t>
  </si>
  <si>
    <t>0.6m – 2m</t>
  </si>
  <si>
    <t>Plasticity index</t>
  </si>
  <si>
    <t>200 mm – 600 mm</t>
  </si>
  <si>
    <t>&lt; 10</t>
  </si>
  <si>
    <t>60 mm – 200 mm</t>
  </si>
  <si>
    <t xml:space="preserve"> 10 - 23 </t>
  </si>
  <si>
    <t>&lt; 60 mm</t>
  </si>
  <si>
    <t>24 - 35</t>
  </si>
  <si>
    <t>Width and continuity</t>
  </si>
  <si>
    <t>Very rough surface. Not continuous. No separation. Unweathered wall rock.</t>
  </si>
  <si>
    <t xml:space="preserve">&gt; 35 </t>
  </si>
  <si>
    <t>of joints</t>
  </si>
  <si>
    <t>Slightly rough surface. Separation &lt; 1mm.Slightly weathered wall.</t>
  </si>
  <si>
    <t>Angle of friction (degrees)</t>
  </si>
  <si>
    <t>Slightly rough surface. Separation &lt; 1mm.Highly weathered wall</t>
  </si>
  <si>
    <r>
      <t xml:space="preserve"> 0 - 11 </t>
    </r>
    <r>
      <rPr>
        <sz val="11"/>
        <color theme="1"/>
        <rFont val="Calibri"/>
        <family val="2"/>
      </rPr>
      <t>°</t>
    </r>
  </si>
  <si>
    <t>Slickensided surface. OR Gouge &lt; 5mm thick OR Separation 1 - 5mm continuous.</t>
  </si>
  <si>
    <r>
      <t xml:space="preserve">12 - 23 </t>
    </r>
    <r>
      <rPr>
        <sz val="11"/>
        <color theme="1"/>
        <rFont val="Calibri"/>
        <family val="2"/>
      </rPr>
      <t>°</t>
    </r>
  </si>
  <si>
    <t>Soft Gough &gt; 5mm OR Separation &gt; 5mm continuous.</t>
  </si>
  <si>
    <r>
      <t xml:space="preserve">24 - 35 </t>
    </r>
    <r>
      <rPr>
        <sz val="11"/>
        <color theme="1"/>
        <rFont val="Calibri"/>
        <family val="2"/>
      </rPr>
      <t>°</t>
    </r>
  </si>
  <si>
    <t>Groundwater in joints</t>
  </si>
  <si>
    <t>Completely Dry</t>
  </si>
  <si>
    <t>Dry</t>
  </si>
  <si>
    <t>of Rock slope;</t>
  </si>
  <si>
    <t>Lower c</t>
  </si>
  <si>
    <t>Wet</t>
  </si>
  <si>
    <t>mid c</t>
  </si>
  <si>
    <t>Dripping</t>
  </si>
  <si>
    <t>High c</t>
  </si>
  <si>
    <t>Flowing</t>
  </si>
  <si>
    <t>Drill core quality (RQD); %</t>
  </si>
  <si>
    <t>Soil depth</t>
  </si>
  <si>
    <t>&lt; 5 m</t>
  </si>
  <si>
    <t>90 - 100 %</t>
  </si>
  <si>
    <t>6 – 11 m</t>
  </si>
  <si>
    <t>75 - 90 %</t>
  </si>
  <si>
    <t>12 – 20 m</t>
  </si>
  <si>
    <t>50 - 75 %</t>
  </si>
  <si>
    <t>&gt; 20 m</t>
  </si>
  <si>
    <t>25 - 50 %</t>
  </si>
  <si>
    <t>&lt; 25</t>
  </si>
  <si>
    <t>Angle of friction (degrees) (°)</t>
  </si>
  <si>
    <t>24 - 32°</t>
  </si>
  <si>
    <t>Height, cut (m)</t>
  </si>
  <si>
    <t>0 – 5 m</t>
  </si>
  <si>
    <t>33 - 41°</t>
  </si>
  <si>
    <t>5 – 10 m</t>
  </si>
  <si>
    <t>42 - 50°</t>
  </si>
  <si>
    <t>10 – 20 m</t>
  </si>
  <si>
    <t>20 – 30 m</t>
  </si>
  <si>
    <t>Sub-Factor for Slope History</t>
  </si>
  <si>
    <t>&gt; 30 m</t>
  </si>
  <si>
    <t>Height, fill (m)</t>
  </si>
  <si>
    <t>No evidence of instability observed</t>
  </si>
  <si>
    <t>5 – 15 m</t>
  </si>
  <si>
    <t>Evidence of possible soil creep</t>
  </si>
  <si>
    <t>15 – 30 m</t>
  </si>
  <si>
    <t>Evidence of active soil creep or minor slip or rock face instability</t>
  </si>
  <si>
    <t xml:space="preserve">Angle gradient </t>
  </si>
  <si>
    <t>0 – 5°</t>
  </si>
  <si>
    <t>Evidence of active or past landslip or surface failure</t>
  </si>
  <si>
    <t>(degree) (°)</t>
  </si>
  <si>
    <t>5 – 15°</t>
  </si>
  <si>
    <t>15 – 30°</t>
  </si>
  <si>
    <t>30 – 40°</t>
  </si>
  <si>
    <t>40 – 60°</t>
  </si>
  <si>
    <t>&gt; 60°</t>
  </si>
  <si>
    <t>Horizontal profile</t>
  </si>
  <si>
    <t>Concave</t>
  </si>
  <si>
    <t>Convex</t>
  </si>
  <si>
    <t>Straight</t>
  </si>
  <si>
    <t>Vertical profile</t>
  </si>
  <si>
    <t>Down slope</t>
  </si>
  <si>
    <t>Complex</t>
  </si>
  <si>
    <t>Upslope</t>
  </si>
  <si>
    <t>Drainage at top</t>
  </si>
  <si>
    <t>None</t>
  </si>
  <si>
    <t>Blocked</t>
  </si>
  <si>
    <t>Fair</t>
  </si>
  <si>
    <t>Good</t>
  </si>
  <si>
    <t>Drainage at toe</t>
  </si>
  <si>
    <t>Berm drainage</t>
  </si>
  <si>
    <t>Slope Rating</t>
  </si>
  <si>
    <t>Choice</t>
  </si>
  <si>
    <t>Spacing of discontinuities;</t>
  </si>
  <si>
    <t>Width and continuity of joints</t>
  </si>
  <si>
    <t>Physical properties of Soil slope;</t>
  </si>
  <si>
    <t>Sub-Factor for Lithology</t>
  </si>
  <si>
    <t>Sub-Factor for Degree of weathering</t>
  </si>
  <si>
    <t>Sub-Factor for Structure</t>
  </si>
  <si>
    <t>Sub-Factor for Slope Condition</t>
  </si>
  <si>
    <t>SLOPE HAZARD RATING RECORD</t>
  </si>
  <si>
    <t>HAZARD RATING RECORD</t>
  </si>
  <si>
    <t>Angle gradient  (°)</t>
  </si>
  <si>
    <t>No Erotion</t>
  </si>
  <si>
    <t>Angle of friction (°)</t>
  </si>
  <si>
    <t xml:space="preserve">Physical properties of Rock slope; </t>
  </si>
  <si>
    <t>Angle of friction  (°)</t>
  </si>
  <si>
    <t>Score</t>
  </si>
  <si>
    <t>Sp01</t>
  </si>
  <si>
    <t>Cr01</t>
  </si>
  <si>
    <t>munth,year</t>
  </si>
  <si>
    <t>Januari 2020</t>
  </si>
  <si>
    <t>Hill</t>
  </si>
  <si>
    <t xml:space="preserve">Gravel </t>
  </si>
  <si>
    <t>Condition of</t>
  </si>
  <si>
    <t>Unstable</t>
  </si>
  <si>
    <t>Yes</t>
  </si>
  <si>
    <t xml:space="preserve">rees </t>
  </si>
  <si>
    <t>Landslide</t>
  </si>
  <si>
    <t>Sp02</t>
  </si>
  <si>
    <t>Cr02</t>
  </si>
  <si>
    <t>Februari 2020</t>
  </si>
  <si>
    <t>Valley</t>
  </si>
  <si>
    <t>sand</t>
  </si>
  <si>
    <t>Surface</t>
  </si>
  <si>
    <t xml:space="preserve">Shrubs </t>
  </si>
  <si>
    <t>collapse</t>
  </si>
  <si>
    <t>Sp03</t>
  </si>
  <si>
    <t>Cr03</t>
  </si>
  <si>
    <t>Maret 2020</t>
  </si>
  <si>
    <t>Right</t>
  </si>
  <si>
    <t>Clay</t>
  </si>
  <si>
    <t>Stable</t>
  </si>
  <si>
    <t xml:space="preserve">Grass </t>
  </si>
  <si>
    <t>Rock fall</t>
  </si>
  <si>
    <t>Sp04</t>
  </si>
  <si>
    <t>Cr04</t>
  </si>
  <si>
    <t>April 2020</t>
  </si>
  <si>
    <t>Left</t>
  </si>
  <si>
    <t>Silt</t>
  </si>
  <si>
    <t xml:space="preserve">Gunite </t>
  </si>
  <si>
    <t>Rock Mass Failure</t>
  </si>
  <si>
    <t>Sp05</t>
  </si>
  <si>
    <t>Cr05</t>
  </si>
  <si>
    <t>Mei 2020</t>
  </si>
  <si>
    <t>Peat</t>
  </si>
  <si>
    <t>Natural spring</t>
  </si>
  <si>
    <t>Dental Concrete</t>
  </si>
  <si>
    <t>Debris Flow</t>
  </si>
  <si>
    <t>Sp06</t>
  </si>
  <si>
    <t>Cr06</t>
  </si>
  <si>
    <t>Juni 2020</t>
  </si>
  <si>
    <t>Other….</t>
  </si>
  <si>
    <t>Water seepage</t>
  </si>
  <si>
    <t>Others…..</t>
  </si>
  <si>
    <t>Embankment Failure</t>
  </si>
  <si>
    <t>Sp07</t>
  </si>
  <si>
    <t>Cr07</t>
  </si>
  <si>
    <t>Juli 2020</t>
  </si>
  <si>
    <t>Sp08</t>
  </si>
  <si>
    <t>Cr08</t>
  </si>
  <si>
    <t>Agustus 2020</t>
  </si>
  <si>
    <t>Geologycal</t>
  </si>
  <si>
    <t>Soft soil over base rock</t>
  </si>
  <si>
    <t xml:space="preserve">Gabions 
</t>
  </si>
  <si>
    <t>Sp09</t>
  </si>
  <si>
    <t>Cr09</t>
  </si>
  <si>
    <t>September 2020</t>
  </si>
  <si>
    <t xml:space="preserve"> Streukture</t>
  </si>
  <si>
    <t>Hard rock over weak rock</t>
  </si>
  <si>
    <t xml:space="preserve">Cover </t>
  </si>
  <si>
    <t xml:space="preserve">Bare </t>
  </si>
  <si>
    <t>Crib Wall</t>
  </si>
  <si>
    <t>Month</t>
  </si>
  <si>
    <t>January</t>
  </si>
  <si>
    <t>Sp10</t>
  </si>
  <si>
    <t>Cr10</t>
  </si>
  <si>
    <t>Oktober 2020</t>
  </si>
  <si>
    <t>Other</t>
  </si>
  <si>
    <t xml:space="preserve">Grass + Structure </t>
  </si>
  <si>
    <t>Concrete Wall</t>
  </si>
  <si>
    <t>February</t>
  </si>
  <si>
    <t>Sp11</t>
  </si>
  <si>
    <t>Cr11</t>
  </si>
  <si>
    <t>November 2020</t>
  </si>
  <si>
    <t>Cement Masonry</t>
  </si>
  <si>
    <t>March</t>
  </si>
  <si>
    <t>Sp12</t>
  </si>
  <si>
    <t>Cr12</t>
  </si>
  <si>
    <t>Desember 2020</t>
  </si>
  <si>
    <t xml:space="preserve">Daylight </t>
  </si>
  <si>
    <t>Other…..</t>
  </si>
  <si>
    <t>April</t>
  </si>
  <si>
    <t>Sp13</t>
  </si>
  <si>
    <t>Cr13</t>
  </si>
  <si>
    <t>Severe (&gt;40% of slope area)</t>
  </si>
  <si>
    <t xml:space="preserve">Rock Bolts </t>
  </si>
  <si>
    <t>May</t>
  </si>
  <si>
    <t>Sp14</t>
  </si>
  <si>
    <t>Cr14</t>
  </si>
  <si>
    <t xml:space="preserve"> (planar,wedga)</t>
  </si>
  <si>
    <t>Moderate (10% - 40%)</t>
  </si>
  <si>
    <t xml:space="preserve">Netting </t>
  </si>
  <si>
    <t>June</t>
  </si>
  <si>
    <t>Sp15</t>
  </si>
  <si>
    <t>Cr15</t>
  </si>
  <si>
    <t>Minor (&lt;10%)</t>
  </si>
  <si>
    <t xml:space="preserve">Soil Nail </t>
  </si>
  <si>
    <t>July</t>
  </si>
  <si>
    <t>Sp16</t>
  </si>
  <si>
    <t>Cr16</t>
  </si>
  <si>
    <t>Siltstone</t>
  </si>
  <si>
    <t>Piles</t>
  </si>
  <si>
    <t>August</t>
  </si>
  <si>
    <t>Sp17</t>
  </si>
  <si>
    <t>Cr17</t>
  </si>
  <si>
    <t>Phylite</t>
  </si>
  <si>
    <t>Severe (0.2 – 0.5m depth)</t>
  </si>
  <si>
    <t>September</t>
  </si>
  <si>
    <t>Sp18</t>
  </si>
  <si>
    <t>Cr18</t>
  </si>
  <si>
    <t>Slate</t>
  </si>
  <si>
    <t>Moderate (0.05 to 0.2m depth)</t>
  </si>
  <si>
    <t>October</t>
  </si>
  <si>
    <t>Sp19</t>
  </si>
  <si>
    <t>Cr19</t>
  </si>
  <si>
    <t>Clay stone</t>
  </si>
  <si>
    <t>Minor (&lt; .05 m )</t>
  </si>
  <si>
    <t>Visible</t>
  </si>
  <si>
    <t>November</t>
  </si>
  <si>
    <t>Sp20</t>
  </si>
  <si>
    <t>Cr20</t>
  </si>
  <si>
    <t>obscruse</t>
  </si>
  <si>
    <t>December</t>
  </si>
  <si>
    <t>Sp21</t>
  </si>
  <si>
    <t>Cr21</t>
  </si>
  <si>
    <t>Severe (&gt;one berm)</t>
  </si>
  <si>
    <t>Sp22</t>
  </si>
  <si>
    <t>Cr22</t>
  </si>
  <si>
    <t>Moderate (one berm)</t>
  </si>
  <si>
    <t>Sp23</t>
  </si>
  <si>
    <t>Cr23</t>
  </si>
  <si>
    <t>Hard Rock</t>
  </si>
  <si>
    <t>Quartzite</t>
  </si>
  <si>
    <t>Sp24</t>
  </si>
  <si>
    <t>Cr24</t>
  </si>
  <si>
    <t>Granite</t>
  </si>
  <si>
    <t>Sp25</t>
  </si>
  <si>
    <t>Cr25</t>
  </si>
  <si>
    <t xml:space="preserve">Gneiss </t>
  </si>
  <si>
    <t xml:space="preserve">Available (good) </t>
  </si>
  <si>
    <t>Sp26</t>
  </si>
  <si>
    <t>Cr26</t>
  </si>
  <si>
    <t>Lime stone</t>
  </si>
  <si>
    <t xml:space="preserve">Available (need repair) </t>
  </si>
  <si>
    <t>Sp27</t>
  </si>
  <si>
    <t>Cr27</t>
  </si>
  <si>
    <t>Sand stone</t>
  </si>
  <si>
    <t>Not available</t>
  </si>
  <si>
    <t>Sp28</t>
  </si>
  <si>
    <t>Cr28</t>
  </si>
  <si>
    <t>Dolomite</t>
  </si>
  <si>
    <t>Sp29</t>
  </si>
  <si>
    <t>Cr29</t>
  </si>
  <si>
    <t>Sp30</t>
  </si>
  <si>
    <t>Cr30</t>
  </si>
  <si>
    <t>40 - 60</t>
  </si>
  <si>
    <t>Well-cemented ferrigenuous sedimentary rocks, dominantly sandstones with minor beds of claystone</t>
  </si>
  <si>
    <t>Highly weathered shale, phillite and schist typically with 60% salt</t>
  </si>
  <si>
    <t>Alluvial</t>
  </si>
  <si>
    <t>Eluvial</t>
  </si>
  <si>
    <t>Colluvial</t>
  </si>
  <si>
    <t>&gt; 2 m</t>
  </si>
  <si>
    <t>0,6 m - 2 m</t>
  </si>
  <si>
    <t>200 mm - 600 mm</t>
  </si>
  <si>
    <t>60 mm - 200 mm</t>
  </si>
  <si>
    <t>&lt;60 mm</t>
  </si>
  <si>
    <t>Very rough surface</t>
  </si>
  <si>
    <t>Slightly weathered wall</t>
  </si>
  <si>
    <t>Highly weathered wall</t>
  </si>
  <si>
    <t>Slickensided surface</t>
  </si>
  <si>
    <t>Soft gough</t>
  </si>
  <si>
    <t>Completely dry</t>
  </si>
  <si>
    <t>6 -11 m</t>
  </si>
  <si>
    <t>12 - 20 m</t>
  </si>
  <si>
    <t>0 - 5 m</t>
  </si>
  <si>
    <t>5 - 10 m</t>
  </si>
  <si>
    <t>10 - 20 m</t>
  </si>
  <si>
    <t>20 - 30 m</t>
  </si>
  <si>
    <t>5 - 15 m</t>
  </si>
  <si>
    <t>15 - 30 m</t>
  </si>
  <si>
    <t>&gt; 60</t>
  </si>
  <si>
    <t>Down Slope</t>
  </si>
  <si>
    <t xml:space="preserve">0 - 40 </t>
  </si>
  <si>
    <t>40 - 100</t>
  </si>
  <si>
    <t>100 - 200</t>
  </si>
  <si>
    <t>200 - 300</t>
  </si>
  <si>
    <t>&gt; 300</t>
  </si>
  <si>
    <t>0 - 10</t>
  </si>
  <si>
    <t>10 - 20</t>
  </si>
  <si>
    <t>20 - 40</t>
  </si>
  <si>
    <t>Rapid</t>
  </si>
  <si>
    <t>Moderate to Rapid</t>
  </si>
  <si>
    <t>Slow to Moderate</t>
  </si>
  <si>
    <t>Slow</t>
  </si>
  <si>
    <t>Very Slow</t>
  </si>
  <si>
    <t>Heavy at mid-height</t>
  </si>
  <si>
    <t>heavy near toe</t>
  </si>
  <si>
    <t>Slightly at mid-height</t>
  </si>
  <si>
    <t>Slightly at toe</t>
  </si>
  <si>
    <t>&lt; 6</t>
  </si>
  <si>
    <t>6 - 12</t>
  </si>
  <si>
    <t>12 - 18</t>
  </si>
  <si>
    <t>&gt; 18</t>
  </si>
  <si>
    <t>10 - 23</t>
  </si>
  <si>
    <t>&gt; 35</t>
  </si>
  <si>
    <t>0 - 11</t>
  </si>
  <si>
    <t>12 - 23</t>
  </si>
  <si>
    <t>Mid c</t>
  </si>
  <si>
    <t>90 - 100</t>
  </si>
  <si>
    <t>75 - 90</t>
  </si>
  <si>
    <t>50 - 75</t>
  </si>
  <si>
    <t>25 - 50</t>
  </si>
  <si>
    <t>No evidence</t>
  </si>
  <si>
    <t>Evidence of possible creep</t>
  </si>
  <si>
    <t>Evidence of active soil creep or minor slip</t>
  </si>
  <si>
    <t>Hidrology</t>
  </si>
  <si>
    <t>Maximum Daily Precipitation</t>
  </si>
  <si>
    <t>Maximum Hourly Precipitation</t>
  </si>
  <si>
    <t>Permeability</t>
  </si>
  <si>
    <r>
      <t>42 - 50</t>
    </r>
    <r>
      <rPr>
        <vertAlign val="superscript"/>
        <sz val="11"/>
        <color theme="1"/>
        <rFont val="Calibri"/>
        <family val="2"/>
        <scheme val="minor"/>
      </rPr>
      <t>o</t>
    </r>
  </si>
  <si>
    <r>
      <t>24 - 32</t>
    </r>
    <r>
      <rPr>
        <vertAlign val="superscript"/>
        <sz val="11"/>
        <color theme="1"/>
        <rFont val="Calibri"/>
        <family val="2"/>
        <scheme val="minor"/>
      </rPr>
      <t>o</t>
    </r>
  </si>
  <si>
    <r>
      <t>33 - 41</t>
    </r>
    <r>
      <rPr>
        <vertAlign val="superscript"/>
        <sz val="11"/>
        <color theme="1"/>
        <rFont val="Calibri"/>
        <family val="2"/>
        <scheme val="minor"/>
      </rPr>
      <t>o</t>
    </r>
  </si>
  <si>
    <r>
      <t>&gt; 60</t>
    </r>
    <r>
      <rPr>
        <vertAlign val="superscript"/>
        <sz val="11"/>
        <color theme="1"/>
        <rFont val="Calibri"/>
        <family val="2"/>
        <scheme val="minor"/>
      </rPr>
      <t>o</t>
    </r>
  </si>
  <si>
    <r>
      <t>40 - 60</t>
    </r>
    <r>
      <rPr>
        <vertAlign val="superscript"/>
        <sz val="11"/>
        <color theme="1"/>
        <rFont val="Calibri"/>
        <family val="2"/>
        <scheme val="minor"/>
      </rPr>
      <t>o</t>
    </r>
  </si>
  <si>
    <r>
      <t>15 - 30</t>
    </r>
    <r>
      <rPr>
        <vertAlign val="superscript"/>
        <sz val="11"/>
        <color theme="1"/>
        <rFont val="Calibri"/>
        <family val="2"/>
        <scheme val="minor"/>
      </rPr>
      <t>o</t>
    </r>
  </si>
  <si>
    <r>
      <t>30 - 40</t>
    </r>
    <r>
      <rPr>
        <vertAlign val="superscript"/>
        <sz val="11"/>
        <color theme="1"/>
        <rFont val="Calibri"/>
        <family val="2"/>
        <scheme val="minor"/>
      </rPr>
      <t>o</t>
    </r>
  </si>
  <si>
    <r>
      <t>5 - 15</t>
    </r>
    <r>
      <rPr>
        <vertAlign val="superscript"/>
        <sz val="11"/>
        <color theme="1"/>
        <rFont val="Calibri"/>
        <family val="2"/>
        <scheme val="minor"/>
      </rPr>
      <t>o</t>
    </r>
  </si>
  <si>
    <r>
      <t>0 - 5</t>
    </r>
    <r>
      <rPr>
        <vertAlign val="superscript"/>
        <sz val="11"/>
        <color theme="1"/>
        <rFont val="Calibri"/>
        <family val="2"/>
        <scheme val="minor"/>
      </rPr>
      <t>o</t>
    </r>
  </si>
  <si>
    <r>
      <t>30 - 40</t>
    </r>
    <r>
      <rPr>
        <vertAlign val="superscript"/>
        <sz val="11.5"/>
        <color theme="1"/>
        <rFont val="Urbanist"/>
        <family val="2"/>
      </rPr>
      <t>o</t>
    </r>
  </si>
  <si>
    <t>33 - 41o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</si>
</sst>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65" formatCode="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.5"/>
      <color theme="1"/>
      <name val="Urbanist"/>
      <family val="2"/>
    </font>
    <font>
      <b/>
      <sz val="11.5"/>
      <color theme="1"/>
      <name val="Urbanist"/>
      <family val="2"/>
    </font>
    <font>
      <i/>
      <sz val="11.5"/>
      <color theme="1"/>
      <name val="Urbanist"/>
      <family val="2"/>
    </font>
    <font>
      <b/>
      <i/>
      <sz val="11.5"/>
      <color theme="1"/>
      <name val="Urbanist"/>
      <family val="2"/>
    </font>
    <font>
      <vertAlign val="superscript"/>
      <sz val="11"/>
      <color theme="1"/>
      <name val="Calibri"/>
      <family val="2"/>
      <scheme val="minor"/>
    </font>
    <font>
      <vertAlign val="superscript"/>
      <sz val="11.5"/>
      <color theme="1"/>
      <name val="Urbanist"/>
      <family val="2"/>
    </font>
    <font>
      <b/>
      <sz val="16"/>
      <color theme="1"/>
      <name val="Urbanist"/>
      <family val="2"/>
    </font>
    <font>
      <sz val="11.5"/>
      <color theme="0" tint="-0.34998626667073579"/>
      <name val="Urbanist"/>
      <family val="2"/>
    </font>
  </fonts>
  <fills count="12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59999389629810485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 style="thin">
        <color theme="4"/>
      </right>
      <top/>
      <bottom/>
      <diagonal/>
    </border>
    <border>
      <left style="thin">
        <color theme="4"/>
      </left>
      <right/>
      <top/>
      <bottom style="thin">
        <color theme="4"/>
      </bottom>
      <diagonal/>
    </border>
    <border>
      <left/>
      <right style="thin">
        <color theme="4"/>
      </right>
      <top/>
      <bottom style="thin">
        <color theme="4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theme="4"/>
      </bottom>
      <diagonal/>
    </border>
    <border>
      <left/>
      <right/>
      <top style="medium">
        <color theme="4"/>
      </top>
      <bottom style="thin">
        <color theme="4"/>
      </bottom>
      <diagonal/>
    </border>
    <border>
      <left/>
      <right/>
      <top style="thin">
        <color theme="4"/>
      </top>
      <bottom style="medium">
        <color theme="4"/>
      </bottom>
      <diagonal/>
    </border>
  </borders>
  <cellStyleXfs count="2">
    <xf numFmtId="0" fontId="0" fillId="0" borderId="0"/>
    <xf numFmtId="41" fontId="3" fillId="0" borderId="0" applyFont="0" applyFill="0" applyBorder="0" applyAlignment="0" applyProtection="0"/>
  </cellStyleXfs>
  <cellXfs count="150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vertical="center"/>
    </xf>
    <xf numFmtId="0" fontId="1" fillId="6" borderId="11" xfId="0" applyFont="1" applyFill="1" applyBorder="1"/>
    <xf numFmtId="0" fontId="0" fillId="6" borderId="12" xfId="0" applyFill="1" applyBorder="1" applyAlignment="1">
      <alignment horizontal="center"/>
    </xf>
    <xf numFmtId="0" fontId="1" fillId="5" borderId="12" xfId="0" applyFont="1" applyFill="1" applyBorder="1"/>
    <xf numFmtId="0" fontId="0" fillId="5" borderId="12" xfId="0" applyFill="1" applyBorder="1" applyAlignment="1">
      <alignment horizontal="center"/>
    </xf>
    <xf numFmtId="0" fontId="1" fillId="3" borderId="12" xfId="0" applyFont="1" applyFill="1" applyBorder="1"/>
    <xf numFmtId="0" fontId="0" fillId="3" borderId="12" xfId="0" applyFill="1" applyBorder="1" applyAlignment="1">
      <alignment horizontal="left"/>
    </xf>
    <xf numFmtId="0" fontId="0" fillId="7" borderId="12" xfId="0" applyFill="1" applyBorder="1"/>
    <xf numFmtId="0" fontId="0" fillId="6" borderId="13" xfId="0" applyFill="1" applyBorder="1"/>
    <xf numFmtId="0" fontId="0" fillId="6" borderId="0" xfId="0" applyFill="1" applyAlignment="1">
      <alignment horizontal="center"/>
    </xf>
    <xf numFmtId="0" fontId="0" fillId="5" borderId="0" xfId="0" applyFill="1"/>
    <xf numFmtId="0" fontId="0" fillId="5" borderId="0" xfId="0" applyFill="1" applyAlignment="1">
      <alignment horizontal="center"/>
    </xf>
    <xf numFmtId="0" fontId="0" fillId="3" borderId="0" xfId="0" applyFill="1"/>
    <xf numFmtId="0" fontId="0" fillId="7" borderId="0" xfId="0" applyFill="1"/>
    <xf numFmtId="49" fontId="0" fillId="3" borderId="0" xfId="0" applyNumberFormat="1" applyFill="1"/>
    <xf numFmtId="17" fontId="0" fillId="3" borderId="0" xfId="0" applyNumberFormat="1" applyFill="1"/>
    <xf numFmtId="0" fontId="0" fillId="6" borderId="14" xfId="0" applyFill="1" applyBorder="1"/>
    <xf numFmtId="0" fontId="0" fillId="6" borderId="15" xfId="0" applyFill="1" applyBorder="1"/>
    <xf numFmtId="0" fontId="0" fillId="5" borderId="15" xfId="0" applyFill="1" applyBorder="1"/>
    <xf numFmtId="0" fontId="0" fillId="5" borderId="15" xfId="0" applyFill="1" applyBorder="1" applyAlignment="1">
      <alignment horizontal="center"/>
    </xf>
    <xf numFmtId="0" fontId="1" fillId="7" borderId="12" xfId="0" applyFont="1" applyFill="1" applyBorder="1"/>
    <xf numFmtId="0" fontId="1" fillId="2" borderId="5" xfId="0" applyFont="1" applyFill="1" applyBorder="1"/>
    <xf numFmtId="0" fontId="0" fillId="2" borderId="6" xfId="0" applyFill="1" applyBorder="1"/>
    <xf numFmtId="0" fontId="1" fillId="2" borderId="4" xfId="0" applyFont="1" applyFill="1" applyBorder="1"/>
    <xf numFmtId="0" fontId="0" fillId="2" borderId="7" xfId="0" applyFill="1" applyBorder="1"/>
    <xf numFmtId="0" fontId="0" fillId="2" borderId="4" xfId="0" applyFill="1" applyBorder="1"/>
    <xf numFmtId="0" fontId="0" fillId="0" borderId="16" xfId="0" applyBorder="1" applyAlignment="1">
      <alignment vertical="center"/>
    </xf>
    <xf numFmtId="0" fontId="0" fillId="0" borderId="16" xfId="0" applyBorder="1" applyAlignment="1">
      <alignment horizontal="center" vertical="center"/>
    </xf>
    <xf numFmtId="0" fontId="0" fillId="9" borderId="0" xfId="0" applyFill="1"/>
    <xf numFmtId="0" fontId="0" fillId="9" borderId="15" xfId="0" applyFill="1" applyBorder="1"/>
    <xf numFmtId="0" fontId="1" fillId="8" borderId="5" xfId="0" applyFont="1" applyFill="1" applyBorder="1"/>
    <xf numFmtId="0" fontId="0" fillId="8" borderId="3" xfId="0" applyFill="1" applyBorder="1"/>
    <xf numFmtId="0" fontId="1" fillId="8" borderId="3" xfId="0" applyFont="1" applyFill="1" applyBorder="1" applyAlignment="1">
      <alignment vertical="center"/>
    </xf>
    <xf numFmtId="0" fontId="0" fillId="8" borderId="6" xfId="0" applyFill="1" applyBorder="1" applyAlignment="1">
      <alignment horizontal="center"/>
    </xf>
    <xf numFmtId="0" fontId="1" fillId="8" borderId="4" xfId="0" applyFont="1" applyFill="1" applyBorder="1"/>
    <xf numFmtId="0" fontId="0" fillId="8" borderId="0" xfId="0" applyFill="1"/>
    <xf numFmtId="0" fontId="1" fillId="8" borderId="0" xfId="0" applyFont="1" applyFill="1" applyAlignment="1">
      <alignment vertical="center"/>
    </xf>
    <xf numFmtId="0" fontId="0" fillId="8" borderId="7" xfId="0" applyFill="1" applyBorder="1" applyAlignment="1">
      <alignment horizontal="center"/>
    </xf>
    <xf numFmtId="0" fontId="0" fillId="8" borderId="4" xfId="0" applyFill="1" applyBorder="1"/>
    <xf numFmtId="0" fontId="0" fillId="8" borderId="7" xfId="0" applyFill="1" applyBorder="1"/>
    <xf numFmtId="0" fontId="0" fillId="9" borderId="7" xfId="0" applyFill="1" applyBorder="1"/>
    <xf numFmtId="0" fontId="0" fillId="9" borderId="0" xfId="0" applyFill="1" applyAlignment="1">
      <alignment vertical="center"/>
    </xf>
    <xf numFmtId="0" fontId="0" fillId="9" borderId="1" xfId="0" applyFill="1" applyBorder="1"/>
    <xf numFmtId="0" fontId="0" fillId="9" borderId="9" xfId="0" applyFill="1" applyBorder="1"/>
    <xf numFmtId="0" fontId="0" fillId="9" borderId="4" xfId="0" applyFill="1" applyBorder="1"/>
    <xf numFmtId="0" fontId="0" fillId="9" borderId="8" xfId="0" applyFill="1" applyBorder="1"/>
    <xf numFmtId="0" fontId="1" fillId="10" borderId="0" xfId="0" applyFont="1" applyFill="1"/>
    <xf numFmtId="0" fontId="0" fillId="10" borderId="0" xfId="0" applyFill="1"/>
    <xf numFmtId="0" fontId="0" fillId="11" borderId="0" xfId="0" applyFill="1"/>
    <xf numFmtId="0" fontId="1" fillId="11" borderId="0" xfId="0" applyFont="1" applyFill="1"/>
    <xf numFmtId="0" fontId="0" fillId="4" borderId="0" xfId="0" applyFill="1"/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18" xfId="0" applyFont="1" applyBorder="1" applyAlignment="1">
      <alignment horizontal="center" vertical="center"/>
    </xf>
    <xf numFmtId="0" fontId="0" fillId="0" borderId="18" xfId="0" applyBorder="1" applyAlignment="1">
      <alignment vertical="center"/>
    </xf>
    <xf numFmtId="2" fontId="0" fillId="0" borderId="0" xfId="0" applyNumberFormat="1" applyAlignment="1">
      <alignment horizontal="center" vertical="center"/>
    </xf>
    <xf numFmtId="2" fontId="1" fillId="0" borderId="18" xfId="0" applyNumberFormat="1" applyFont="1" applyBorder="1" applyAlignment="1">
      <alignment horizontal="center" vertical="center"/>
    </xf>
    <xf numFmtId="0" fontId="0" fillId="7" borderId="17" xfId="0" applyFill="1" applyBorder="1" applyAlignment="1">
      <alignment vertical="center"/>
    </xf>
    <xf numFmtId="0" fontId="1" fillId="7" borderId="17" xfId="0" applyFont="1" applyFill="1" applyBorder="1" applyAlignment="1">
      <alignment horizontal="center" vertical="center"/>
    </xf>
    <xf numFmtId="0" fontId="0" fillId="7" borderId="17" xfId="0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0" fillId="0" borderId="16" xfId="0" quotePrefix="1" applyBorder="1" applyAlignment="1">
      <alignment horizontal="center" vertical="center"/>
    </xf>
    <xf numFmtId="2" fontId="0" fillId="0" borderId="16" xfId="0" applyNumberFormat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0" fontId="0" fillId="4" borderId="0" xfId="0" applyFill="1" applyAlignment="1">
      <alignment vertical="center"/>
    </xf>
    <xf numFmtId="0" fontId="1" fillId="7" borderId="17" xfId="0" applyFont="1" applyFill="1" applyBorder="1" applyAlignment="1">
      <alignment vertical="center"/>
    </xf>
    <xf numFmtId="16" fontId="0" fillId="0" borderId="0" xfId="0" quotePrefix="1" applyNumberFormat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quotePrefix="1" applyAlignment="1">
      <alignment horizontal="right" vertical="center"/>
    </xf>
    <xf numFmtId="0" fontId="0" fillId="0" borderId="16" xfId="0" quotePrefix="1" applyBorder="1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0" fillId="0" borderId="16" xfId="0" applyBorder="1" applyAlignment="1">
      <alignment horizontal="right" vertical="center"/>
    </xf>
    <xf numFmtId="0" fontId="0" fillId="0" borderId="0" xfId="0" applyAlignment="1">
      <alignment horizontal="right"/>
    </xf>
    <xf numFmtId="0" fontId="6" fillId="0" borderId="0" xfId="0" applyFont="1"/>
    <xf numFmtId="0" fontId="6" fillId="0" borderId="0" xfId="0" applyFont="1" applyAlignment="1">
      <alignment horizontal="center"/>
    </xf>
    <xf numFmtId="0" fontId="6" fillId="0" borderId="1" xfId="0" applyFont="1" applyBorder="1" applyAlignment="1">
      <alignment vertical="center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/>
    <xf numFmtId="41" fontId="8" fillId="3" borderId="2" xfId="1" applyFont="1" applyFill="1" applyBorder="1" applyAlignment="1">
      <alignment horizontal="center" vertical="center"/>
    </xf>
    <xf numFmtId="0" fontId="6" fillId="0" borderId="0" xfId="0" applyFont="1" applyAlignment="1">
      <alignment vertical="center"/>
    </xf>
    <xf numFmtId="41" fontId="8" fillId="4" borderId="2" xfId="1" applyFont="1" applyFill="1" applyBorder="1" applyAlignment="1">
      <alignment vertical="center"/>
    </xf>
    <xf numFmtId="41" fontId="8" fillId="4" borderId="2" xfId="1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65" fontId="8" fillId="3" borderId="2" xfId="0" applyNumberFormat="1" applyFont="1" applyFill="1" applyBorder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6" fillId="0" borderId="3" xfId="0" applyFont="1" applyBorder="1"/>
    <xf numFmtId="0" fontId="6" fillId="0" borderId="0" xfId="0" applyFont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" xfId="0" applyFont="1" applyBorder="1" applyAlignment="1">
      <alignment horizontal="left" vertical="center"/>
    </xf>
    <xf numFmtId="0" fontId="8" fillId="4" borderId="2" xfId="0" applyFont="1" applyFill="1" applyBorder="1" applyAlignment="1">
      <alignment horizontal="center" vertical="center"/>
    </xf>
    <xf numFmtId="0" fontId="7" fillId="8" borderId="2" xfId="0" applyFont="1" applyFill="1" applyBorder="1" applyAlignment="1">
      <alignment vertical="center"/>
    </xf>
    <xf numFmtId="0" fontId="7" fillId="8" borderId="2" xfId="0" applyFont="1" applyFill="1" applyBorder="1" applyAlignment="1">
      <alignment horizontal="left" vertical="center"/>
    </xf>
    <xf numFmtId="0" fontId="7" fillId="8" borderId="2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left" vertical="center"/>
    </xf>
    <xf numFmtId="0" fontId="6" fillId="0" borderId="2" xfId="0" applyFont="1" applyBorder="1" applyAlignment="1">
      <alignment horizontal="center" vertical="center"/>
    </xf>
    <xf numFmtId="0" fontId="6" fillId="0" borderId="2" xfId="0" applyFont="1" applyBorder="1" applyAlignment="1">
      <alignment vertical="center"/>
    </xf>
    <xf numFmtId="0" fontId="6" fillId="0" borderId="3" xfId="0" applyFont="1" applyBorder="1" applyAlignment="1">
      <alignment vertical="center"/>
    </xf>
    <xf numFmtId="16" fontId="6" fillId="0" borderId="2" xfId="0" quotePrefix="1" applyNumberFormat="1" applyFont="1" applyBorder="1" applyAlignment="1">
      <alignment vertical="center"/>
    </xf>
    <xf numFmtId="0" fontId="6" fillId="0" borderId="2" xfId="1" applyNumberFormat="1" applyFont="1" applyBorder="1" applyAlignment="1">
      <alignment vertical="center"/>
    </xf>
    <xf numFmtId="16" fontId="6" fillId="0" borderId="2" xfId="0" applyNumberFormat="1" applyFont="1" applyBorder="1" applyAlignment="1">
      <alignment vertical="center"/>
    </xf>
    <xf numFmtId="0" fontId="6" fillId="7" borderId="17" xfId="0" applyFont="1" applyFill="1" applyBorder="1" applyAlignment="1">
      <alignment vertical="center"/>
    </xf>
    <xf numFmtId="0" fontId="6" fillId="7" borderId="17" xfId="0" applyFont="1" applyFill="1" applyBorder="1" applyAlignment="1">
      <alignment horizontal="center" vertical="center"/>
    </xf>
    <xf numFmtId="0" fontId="6" fillId="7" borderId="17" xfId="0" applyFont="1" applyFill="1" applyBorder="1" applyAlignment="1">
      <alignment horizontal="center" vertical="center" wrapText="1"/>
    </xf>
    <xf numFmtId="0" fontId="6" fillId="0" borderId="16" xfId="0" applyFont="1" applyBorder="1" applyAlignment="1">
      <alignment vertical="center"/>
    </xf>
    <xf numFmtId="0" fontId="6" fillId="0" borderId="16" xfId="0" applyFont="1" applyBorder="1" applyAlignment="1">
      <alignment horizontal="center" vertical="center"/>
    </xf>
    <xf numFmtId="16" fontId="6" fillId="0" borderId="0" xfId="0" applyNumberFormat="1" applyFont="1"/>
    <xf numFmtId="17" fontId="0" fillId="0" borderId="0" xfId="0" applyNumberFormat="1"/>
    <xf numFmtId="49" fontId="0" fillId="0" borderId="0" xfId="0" applyNumberFormat="1"/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1" fillId="7" borderId="17" xfId="0" applyFont="1" applyFill="1" applyBorder="1" applyAlignment="1">
      <alignment horizontal="center" vertical="center"/>
    </xf>
    <xf numFmtId="0" fontId="4" fillId="8" borderId="0" xfId="0" applyFont="1" applyFill="1" applyAlignment="1">
      <alignment horizontal="center"/>
    </xf>
    <xf numFmtId="0" fontId="4" fillId="8" borderId="16" xfId="0" applyFont="1" applyFill="1" applyBorder="1" applyAlignment="1">
      <alignment horizontal="center" vertical="top"/>
    </xf>
    <xf numFmtId="0" fontId="4" fillId="8" borderId="16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/>
    </xf>
    <xf numFmtId="0" fontId="9" fillId="8" borderId="2" xfId="0" applyFont="1" applyFill="1" applyBorder="1" applyAlignment="1">
      <alignment horizontal="center" vertical="center"/>
    </xf>
    <xf numFmtId="0" fontId="6" fillId="0" borderId="3" xfId="0" applyFont="1" applyBorder="1" applyAlignment="1">
      <alignment horizontal="left" vertical="center" wrapText="1"/>
    </xf>
    <xf numFmtId="0" fontId="6" fillId="0" borderId="0" xfId="0" applyFont="1" applyAlignment="1">
      <alignment horizontal="left" vertical="center" wrapText="1"/>
    </xf>
    <xf numFmtId="0" fontId="6" fillId="0" borderId="1" xfId="0" applyFont="1" applyBorder="1" applyAlignment="1">
      <alignment horizontal="left" vertical="center" wrapText="1"/>
    </xf>
    <xf numFmtId="0" fontId="7" fillId="5" borderId="1" xfId="0" applyFont="1" applyFill="1" applyBorder="1" applyAlignment="1">
      <alignment horizontal="center" vertical="center"/>
    </xf>
    <xf numFmtId="0" fontId="9" fillId="8" borderId="16" xfId="0" applyFont="1" applyFill="1" applyBorder="1" applyAlignment="1">
      <alignment horizontal="center" vertical="top"/>
    </xf>
    <xf numFmtId="0" fontId="6" fillId="7" borderId="3" xfId="0" applyFont="1" applyFill="1" applyBorder="1" applyAlignment="1">
      <alignment horizontal="center" vertical="center"/>
    </xf>
    <xf numFmtId="0" fontId="6" fillId="7" borderId="1" xfId="0" applyFont="1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7" fillId="8" borderId="2" xfId="0" applyFont="1" applyFill="1" applyBorder="1" applyAlignment="1">
      <alignment horizontal="center" vertical="center"/>
    </xf>
    <xf numFmtId="0" fontId="6" fillId="0" borderId="3" xfId="0" applyFont="1" applyBorder="1" applyAlignment="1">
      <alignment horizontal="left" vertical="top" wrapText="1"/>
    </xf>
    <xf numFmtId="0" fontId="6" fillId="0" borderId="1" xfId="0" applyFont="1" applyBorder="1" applyAlignment="1">
      <alignment horizontal="left" vertical="top" wrapText="1"/>
    </xf>
    <xf numFmtId="0" fontId="6" fillId="0" borderId="3" xfId="0" applyFont="1" applyBorder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9" fillId="8" borderId="3" xfId="0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top"/>
    </xf>
    <xf numFmtId="0" fontId="7" fillId="2" borderId="1" xfId="0" applyFont="1" applyFill="1" applyBorder="1" applyAlignment="1">
      <alignment horizontal="center" vertical="center"/>
    </xf>
    <xf numFmtId="41" fontId="8" fillId="3" borderId="10" xfId="1" applyFont="1" applyFill="1" applyBorder="1" applyAlignment="1">
      <alignment horizontal="center" vertical="center"/>
    </xf>
    <xf numFmtId="41" fontId="8" fillId="3" borderId="2" xfId="1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41" fontId="8" fillId="3" borderId="3" xfId="1" applyFont="1" applyFill="1" applyBorder="1" applyAlignment="1">
      <alignment horizontal="center" vertical="center"/>
    </xf>
    <xf numFmtId="41" fontId="8" fillId="3" borderId="1" xfId="1" applyFont="1" applyFill="1" applyBorder="1" applyAlignment="1">
      <alignment horizontal="center" vertical="center"/>
    </xf>
    <xf numFmtId="49" fontId="8" fillId="3" borderId="2" xfId="1" applyNumberFormat="1" applyFont="1" applyFill="1" applyBorder="1" applyAlignment="1">
      <alignment horizontal="center" vertical="center"/>
    </xf>
    <xf numFmtId="49" fontId="8" fillId="3" borderId="1" xfId="1" applyNumberFormat="1" applyFont="1" applyFill="1" applyBorder="1" applyAlignment="1">
      <alignment horizontal="center" vertical="center"/>
    </xf>
    <xf numFmtId="0" fontId="13" fillId="0" borderId="0" xfId="0" applyFont="1"/>
  </cellXfs>
  <cellStyles count="2">
    <cellStyle name="Comma [0]" xfId="1" builtinId="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15</xdr:row>
          <xdr:rowOff>28575</xdr:rowOff>
        </xdr:from>
        <xdr:to>
          <xdr:col>3</xdr:col>
          <xdr:colOff>466725</xdr:colOff>
          <xdr:row>15</xdr:row>
          <xdr:rowOff>200025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7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16</xdr:row>
          <xdr:rowOff>28575</xdr:rowOff>
        </xdr:from>
        <xdr:to>
          <xdr:col>3</xdr:col>
          <xdr:colOff>466725</xdr:colOff>
          <xdr:row>16</xdr:row>
          <xdr:rowOff>200025</xdr:rowOff>
        </xdr:to>
        <xdr:sp macro="" textlink="">
          <xdr:nvSpPr>
            <xdr:cNvPr id="1028" name="CommandButton2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7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18</xdr:row>
          <xdr:rowOff>28575</xdr:rowOff>
        </xdr:from>
        <xdr:to>
          <xdr:col>3</xdr:col>
          <xdr:colOff>466725</xdr:colOff>
          <xdr:row>18</xdr:row>
          <xdr:rowOff>200025</xdr:rowOff>
        </xdr:to>
        <xdr:sp macro="" textlink="">
          <xdr:nvSpPr>
            <xdr:cNvPr id="1031" name="CommandButton3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7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20</xdr:row>
          <xdr:rowOff>38100</xdr:rowOff>
        </xdr:from>
        <xdr:to>
          <xdr:col>3</xdr:col>
          <xdr:colOff>466725</xdr:colOff>
          <xdr:row>20</xdr:row>
          <xdr:rowOff>209550</xdr:rowOff>
        </xdr:to>
        <xdr:sp macro="" textlink="">
          <xdr:nvSpPr>
            <xdr:cNvPr id="1032" name="CommandButton4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7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22</xdr:row>
          <xdr:rowOff>38100</xdr:rowOff>
        </xdr:from>
        <xdr:to>
          <xdr:col>3</xdr:col>
          <xdr:colOff>466725</xdr:colOff>
          <xdr:row>22</xdr:row>
          <xdr:rowOff>209550</xdr:rowOff>
        </xdr:to>
        <xdr:sp macro="" textlink="">
          <xdr:nvSpPr>
            <xdr:cNvPr id="1033" name="CommandButton5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7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24</xdr:row>
          <xdr:rowOff>38100</xdr:rowOff>
        </xdr:from>
        <xdr:to>
          <xdr:col>3</xdr:col>
          <xdr:colOff>466725</xdr:colOff>
          <xdr:row>24</xdr:row>
          <xdr:rowOff>209550</xdr:rowOff>
        </xdr:to>
        <xdr:sp macro="" textlink="">
          <xdr:nvSpPr>
            <xdr:cNvPr id="1034" name="CommandButton6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7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25</xdr:row>
          <xdr:rowOff>38100</xdr:rowOff>
        </xdr:from>
        <xdr:to>
          <xdr:col>3</xdr:col>
          <xdr:colOff>466725</xdr:colOff>
          <xdr:row>25</xdr:row>
          <xdr:rowOff>209550</xdr:rowOff>
        </xdr:to>
        <xdr:sp macro="" textlink="">
          <xdr:nvSpPr>
            <xdr:cNvPr id="1035" name="CommandButton7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7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27</xdr:row>
          <xdr:rowOff>38100</xdr:rowOff>
        </xdr:from>
        <xdr:to>
          <xdr:col>3</xdr:col>
          <xdr:colOff>466725</xdr:colOff>
          <xdr:row>27</xdr:row>
          <xdr:rowOff>209550</xdr:rowOff>
        </xdr:to>
        <xdr:sp macro="" textlink="">
          <xdr:nvSpPr>
            <xdr:cNvPr id="1036" name="CommandButton8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7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28</xdr:row>
          <xdr:rowOff>38100</xdr:rowOff>
        </xdr:from>
        <xdr:to>
          <xdr:col>3</xdr:col>
          <xdr:colOff>466725</xdr:colOff>
          <xdr:row>28</xdr:row>
          <xdr:rowOff>209550</xdr:rowOff>
        </xdr:to>
        <xdr:sp macro="" textlink="">
          <xdr:nvSpPr>
            <xdr:cNvPr id="1037" name="CommandButton9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7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29</xdr:row>
          <xdr:rowOff>38100</xdr:rowOff>
        </xdr:from>
        <xdr:to>
          <xdr:col>3</xdr:col>
          <xdr:colOff>466725</xdr:colOff>
          <xdr:row>29</xdr:row>
          <xdr:rowOff>209550</xdr:rowOff>
        </xdr:to>
        <xdr:sp macro="" textlink="">
          <xdr:nvSpPr>
            <xdr:cNvPr id="1038" name="CommandButton10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7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30</xdr:row>
          <xdr:rowOff>38100</xdr:rowOff>
        </xdr:from>
        <xdr:to>
          <xdr:col>3</xdr:col>
          <xdr:colOff>466725</xdr:colOff>
          <xdr:row>30</xdr:row>
          <xdr:rowOff>209550</xdr:rowOff>
        </xdr:to>
        <xdr:sp macro="" textlink="">
          <xdr:nvSpPr>
            <xdr:cNvPr id="1039" name="CommandButton11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7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31</xdr:row>
          <xdr:rowOff>38100</xdr:rowOff>
        </xdr:from>
        <xdr:to>
          <xdr:col>3</xdr:col>
          <xdr:colOff>466725</xdr:colOff>
          <xdr:row>31</xdr:row>
          <xdr:rowOff>209550</xdr:rowOff>
        </xdr:to>
        <xdr:sp macro="" textlink="">
          <xdr:nvSpPr>
            <xdr:cNvPr id="1040" name="CommandButton12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7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32</xdr:row>
          <xdr:rowOff>38100</xdr:rowOff>
        </xdr:from>
        <xdr:to>
          <xdr:col>3</xdr:col>
          <xdr:colOff>466725</xdr:colOff>
          <xdr:row>32</xdr:row>
          <xdr:rowOff>209550</xdr:rowOff>
        </xdr:to>
        <xdr:sp macro="" textlink="">
          <xdr:nvSpPr>
            <xdr:cNvPr id="1041" name="CommandButton13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7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33</xdr:row>
          <xdr:rowOff>38100</xdr:rowOff>
        </xdr:from>
        <xdr:to>
          <xdr:col>3</xdr:col>
          <xdr:colOff>466725</xdr:colOff>
          <xdr:row>33</xdr:row>
          <xdr:rowOff>209550</xdr:rowOff>
        </xdr:to>
        <xdr:sp macro="" textlink="">
          <xdr:nvSpPr>
            <xdr:cNvPr id="1042" name="CommandButton14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7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34</xdr:row>
          <xdr:rowOff>38100</xdr:rowOff>
        </xdr:from>
        <xdr:to>
          <xdr:col>3</xdr:col>
          <xdr:colOff>466725</xdr:colOff>
          <xdr:row>34</xdr:row>
          <xdr:rowOff>209550</xdr:rowOff>
        </xdr:to>
        <xdr:sp macro="" textlink="">
          <xdr:nvSpPr>
            <xdr:cNvPr id="1043" name="CommandButton15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7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41</xdr:row>
          <xdr:rowOff>38100</xdr:rowOff>
        </xdr:from>
        <xdr:to>
          <xdr:col>3</xdr:col>
          <xdr:colOff>466725</xdr:colOff>
          <xdr:row>41</xdr:row>
          <xdr:rowOff>209550</xdr:rowOff>
        </xdr:to>
        <xdr:sp macro="" textlink="">
          <xdr:nvSpPr>
            <xdr:cNvPr id="1044" name="CommandButton16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7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42</xdr:row>
          <xdr:rowOff>38100</xdr:rowOff>
        </xdr:from>
        <xdr:to>
          <xdr:col>3</xdr:col>
          <xdr:colOff>466725</xdr:colOff>
          <xdr:row>42</xdr:row>
          <xdr:rowOff>209550</xdr:rowOff>
        </xdr:to>
        <xdr:sp macro="" textlink="">
          <xdr:nvSpPr>
            <xdr:cNvPr id="1045" name="CommandButton17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7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43</xdr:row>
          <xdr:rowOff>38100</xdr:rowOff>
        </xdr:from>
        <xdr:to>
          <xdr:col>3</xdr:col>
          <xdr:colOff>466725</xdr:colOff>
          <xdr:row>43</xdr:row>
          <xdr:rowOff>209550</xdr:rowOff>
        </xdr:to>
        <xdr:sp macro="" textlink="">
          <xdr:nvSpPr>
            <xdr:cNvPr id="1046" name="CommandButton18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7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44</xdr:row>
          <xdr:rowOff>38100</xdr:rowOff>
        </xdr:from>
        <xdr:to>
          <xdr:col>3</xdr:col>
          <xdr:colOff>466725</xdr:colOff>
          <xdr:row>44</xdr:row>
          <xdr:rowOff>209550</xdr:rowOff>
        </xdr:to>
        <xdr:sp macro="" textlink="">
          <xdr:nvSpPr>
            <xdr:cNvPr id="1047" name="CommandButton19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7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46</xdr:row>
          <xdr:rowOff>38100</xdr:rowOff>
        </xdr:from>
        <xdr:to>
          <xdr:col>3</xdr:col>
          <xdr:colOff>466725</xdr:colOff>
          <xdr:row>46</xdr:row>
          <xdr:rowOff>209550</xdr:rowOff>
        </xdr:to>
        <xdr:sp macro="" textlink="">
          <xdr:nvSpPr>
            <xdr:cNvPr id="1048" name="CommandButton20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7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48</xdr:row>
          <xdr:rowOff>38100</xdr:rowOff>
        </xdr:from>
        <xdr:to>
          <xdr:col>3</xdr:col>
          <xdr:colOff>466725</xdr:colOff>
          <xdr:row>48</xdr:row>
          <xdr:rowOff>209550</xdr:rowOff>
        </xdr:to>
        <xdr:sp macro="" textlink="">
          <xdr:nvSpPr>
            <xdr:cNvPr id="1049" name="CommandButton21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7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49</xdr:row>
          <xdr:rowOff>38100</xdr:rowOff>
        </xdr:from>
        <xdr:to>
          <xdr:col>3</xdr:col>
          <xdr:colOff>466725</xdr:colOff>
          <xdr:row>49</xdr:row>
          <xdr:rowOff>209550</xdr:rowOff>
        </xdr:to>
        <xdr:sp macro="" textlink="">
          <xdr:nvSpPr>
            <xdr:cNvPr id="1050" name="CommandButton22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7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50</xdr:row>
          <xdr:rowOff>38100</xdr:rowOff>
        </xdr:from>
        <xdr:to>
          <xdr:col>3</xdr:col>
          <xdr:colOff>466725</xdr:colOff>
          <xdr:row>50</xdr:row>
          <xdr:rowOff>209550</xdr:rowOff>
        </xdr:to>
        <xdr:sp macro="" textlink="">
          <xdr:nvSpPr>
            <xdr:cNvPr id="1051" name="CommandButton23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7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51</xdr:row>
          <xdr:rowOff>38100</xdr:rowOff>
        </xdr:from>
        <xdr:to>
          <xdr:col>3</xdr:col>
          <xdr:colOff>466725</xdr:colOff>
          <xdr:row>51</xdr:row>
          <xdr:rowOff>209550</xdr:rowOff>
        </xdr:to>
        <xdr:sp macro="" textlink="">
          <xdr:nvSpPr>
            <xdr:cNvPr id="1052" name="CommandButton24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7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52</xdr:row>
          <xdr:rowOff>38100</xdr:rowOff>
        </xdr:from>
        <xdr:to>
          <xdr:col>3</xdr:col>
          <xdr:colOff>466725</xdr:colOff>
          <xdr:row>52</xdr:row>
          <xdr:rowOff>209550</xdr:rowOff>
        </xdr:to>
        <xdr:sp macro="" textlink="">
          <xdr:nvSpPr>
            <xdr:cNvPr id="1053" name="CommandButton25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7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53</xdr:row>
          <xdr:rowOff>38100</xdr:rowOff>
        </xdr:from>
        <xdr:to>
          <xdr:col>3</xdr:col>
          <xdr:colOff>466725</xdr:colOff>
          <xdr:row>53</xdr:row>
          <xdr:rowOff>209550</xdr:rowOff>
        </xdr:to>
        <xdr:sp macro="" textlink="">
          <xdr:nvSpPr>
            <xdr:cNvPr id="1054" name="CommandButton26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7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55</xdr:row>
          <xdr:rowOff>38100</xdr:rowOff>
        </xdr:from>
        <xdr:to>
          <xdr:col>3</xdr:col>
          <xdr:colOff>466725</xdr:colOff>
          <xdr:row>55</xdr:row>
          <xdr:rowOff>209550</xdr:rowOff>
        </xdr:to>
        <xdr:sp macro="" textlink="">
          <xdr:nvSpPr>
            <xdr:cNvPr id="1055" name="CommandButton27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7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123825</xdr:colOff>
      <xdr:row>2</xdr:row>
      <xdr:rowOff>95250</xdr:rowOff>
    </xdr:from>
    <xdr:to>
      <xdr:col>20</xdr:col>
      <xdr:colOff>502837</xdr:colOff>
      <xdr:row>22</xdr:row>
      <xdr:rowOff>19733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E59238B-06E2-4219-8BFA-43512FDE84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39025" y="476250"/>
          <a:ext cx="5255812" cy="3734483"/>
        </a:xfrm>
        <a:prstGeom prst="rect">
          <a:avLst/>
        </a:prstGeom>
      </xdr:spPr>
    </xdr:pic>
    <xdr:clientData/>
  </xdr:twoCellAnchor>
  <xdr:twoCellAnchor>
    <xdr:from>
      <xdr:col>12</xdr:col>
      <xdr:colOff>381000</xdr:colOff>
      <xdr:row>22</xdr:row>
      <xdr:rowOff>161925</xdr:rowOff>
    </xdr:from>
    <xdr:to>
      <xdr:col>21</xdr:col>
      <xdr:colOff>315080</xdr:colOff>
      <xdr:row>31</xdr:row>
      <xdr:rowOff>48164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9F462B57-ED4B-4713-909A-4454D52117E2}"/>
            </a:ext>
          </a:extLst>
        </xdr:cNvPr>
        <xdr:cNvGrpSpPr/>
      </xdr:nvGrpSpPr>
      <xdr:grpSpPr>
        <a:xfrm>
          <a:off x="7696200" y="4352925"/>
          <a:ext cx="5420480" cy="1600739"/>
          <a:chOff x="7734300" y="6619875"/>
          <a:chExt cx="5420480" cy="1600739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A11EF228-D0C9-DA9B-BDD7-016E8CEDABD7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t="68217"/>
          <a:stretch/>
        </xdr:blipFill>
        <xdr:spPr>
          <a:xfrm>
            <a:off x="7743825" y="6991349"/>
            <a:ext cx="5410955" cy="1229265"/>
          </a:xfrm>
          <a:prstGeom prst="rect">
            <a:avLst/>
          </a:prstGeom>
        </xdr:spPr>
      </xdr:pic>
      <xdr:pic>
        <xdr:nvPicPr>
          <xdr:cNvPr id="5" name="Picture 4">
            <a:extLst>
              <a:ext uri="{FF2B5EF4-FFF2-40B4-BE49-F238E27FC236}">
                <a16:creationId xmlns:a16="http://schemas.microsoft.com/office/drawing/2014/main" id="{42527524-CD84-0452-0969-E7F95090FD99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b="87686"/>
          <a:stretch/>
        </xdr:blipFill>
        <xdr:spPr>
          <a:xfrm>
            <a:off x="7734300" y="6619875"/>
            <a:ext cx="5410955" cy="476250"/>
          </a:xfrm>
          <a:prstGeom prst="rect">
            <a:avLst/>
          </a:prstGeom>
        </xdr:spPr>
      </xdr:pic>
    </xdr:grpSp>
    <xdr:clientData/>
  </xdr:twoCellAnchor>
  <xdr:twoCellAnchor editAs="oneCell">
    <xdr:from>
      <xdr:col>12</xdr:col>
      <xdr:colOff>419100</xdr:colOff>
      <xdr:row>31</xdr:row>
      <xdr:rowOff>142875</xdr:rowOff>
    </xdr:from>
    <xdr:to>
      <xdr:col>21</xdr:col>
      <xdr:colOff>17438</xdr:colOff>
      <xdr:row>52</xdr:row>
      <xdr:rowOff>135429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B76ECB55-C558-4B94-A7D6-AA18899186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734300" y="6048375"/>
          <a:ext cx="5084738" cy="3993054"/>
        </a:xfrm>
        <a:prstGeom prst="rect">
          <a:avLst/>
        </a:prstGeom>
      </xdr:spPr>
    </xdr:pic>
    <xdr:clientData/>
  </xdr:twoCellAnchor>
  <xdr:twoCellAnchor>
    <xdr:from>
      <xdr:col>12</xdr:col>
      <xdr:colOff>419100</xdr:colOff>
      <xdr:row>52</xdr:row>
      <xdr:rowOff>142875</xdr:rowOff>
    </xdr:from>
    <xdr:to>
      <xdr:col>20</xdr:col>
      <xdr:colOff>600778</xdr:colOff>
      <xdr:row>82</xdr:row>
      <xdr:rowOff>51128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C69C6AC1-A4B6-4D0D-B728-E46B6C4D02B1}"/>
            </a:ext>
          </a:extLst>
        </xdr:cNvPr>
        <xdr:cNvGrpSpPr/>
      </xdr:nvGrpSpPr>
      <xdr:grpSpPr>
        <a:xfrm>
          <a:off x="7734300" y="10048875"/>
          <a:ext cx="5058478" cy="5794703"/>
          <a:chOff x="7734300" y="10048875"/>
          <a:chExt cx="5058478" cy="5623253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C01EFAE3-81DC-BC7C-0DEA-CBACAF53614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7734300" y="10048875"/>
            <a:ext cx="5048955" cy="3073322"/>
          </a:xfrm>
          <a:prstGeom prst="rect">
            <a:avLst/>
          </a:prstGeom>
        </xdr:spPr>
      </xdr:pic>
      <xdr:pic>
        <xdr:nvPicPr>
          <xdr:cNvPr id="9" name="Picture 8">
            <a:extLst>
              <a:ext uri="{FF2B5EF4-FFF2-40B4-BE49-F238E27FC236}">
                <a16:creationId xmlns:a16="http://schemas.microsoft.com/office/drawing/2014/main" id="{3B88A91D-912F-0EC0-BD4D-4C0F4E6FDF3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7762875" y="12954000"/>
            <a:ext cx="5029903" cy="2718128"/>
          </a:xfrm>
          <a:prstGeom prst="rect">
            <a:avLst/>
          </a:prstGeom>
        </xdr:spPr>
      </xdr:pic>
    </xdr:grpSp>
    <xdr:clientData/>
  </xdr:twoCellAnchor>
  <xdr:twoCellAnchor editAs="oneCell">
    <xdr:from>
      <xdr:col>13</xdr:col>
      <xdr:colOff>0</xdr:colOff>
      <xdr:row>83</xdr:row>
      <xdr:rowOff>0</xdr:rowOff>
    </xdr:from>
    <xdr:to>
      <xdr:col>21</xdr:col>
      <xdr:colOff>76890</xdr:colOff>
      <xdr:row>101</xdr:row>
      <xdr:rowOff>109751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3620A6B2-7C40-4641-A5DA-17FFACF436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924800" y="15811500"/>
          <a:ext cx="4953690" cy="3538751"/>
        </a:xfrm>
        <a:prstGeom prst="rect">
          <a:avLst/>
        </a:prstGeom>
      </xdr:spPr>
    </xdr:pic>
    <xdr:clientData/>
  </xdr:twoCellAnchor>
  <xdr:twoCellAnchor>
    <xdr:from>
      <xdr:col>13</xdr:col>
      <xdr:colOff>95250</xdr:colOff>
      <xdr:row>102</xdr:row>
      <xdr:rowOff>19051</xdr:rowOff>
    </xdr:from>
    <xdr:to>
      <xdr:col>21</xdr:col>
      <xdr:colOff>303185</xdr:colOff>
      <xdr:row>113</xdr:row>
      <xdr:rowOff>76725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66222775-4622-4129-BF7E-B629F3C89924}"/>
            </a:ext>
          </a:extLst>
        </xdr:cNvPr>
        <xdr:cNvGrpSpPr/>
      </xdr:nvGrpSpPr>
      <xdr:grpSpPr>
        <a:xfrm>
          <a:off x="8020050" y="19621501"/>
          <a:ext cx="5084735" cy="2153174"/>
          <a:chOff x="8020050" y="19450051"/>
          <a:chExt cx="5084735" cy="2153174"/>
        </a:xfrm>
      </xdr:grpSpPr>
      <xdr:pic>
        <xdr:nvPicPr>
          <xdr:cNvPr id="12" name="Picture 11">
            <a:extLst>
              <a:ext uri="{FF2B5EF4-FFF2-40B4-BE49-F238E27FC236}">
                <a16:creationId xmlns:a16="http://schemas.microsoft.com/office/drawing/2014/main" id="{F4B51F9E-FAD1-3838-25B8-6F685CABE732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7"/>
          <a:srcRect b="59917"/>
          <a:stretch/>
        </xdr:blipFill>
        <xdr:spPr>
          <a:xfrm>
            <a:off x="8039100" y="19450051"/>
            <a:ext cx="5065685" cy="1733550"/>
          </a:xfrm>
          <a:prstGeom prst="rect">
            <a:avLst/>
          </a:prstGeom>
        </xdr:spPr>
      </xdr:pic>
      <xdr:pic>
        <xdr:nvPicPr>
          <xdr:cNvPr id="13" name="Picture 12">
            <a:extLst>
              <a:ext uri="{FF2B5EF4-FFF2-40B4-BE49-F238E27FC236}">
                <a16:creationId xmlns:a16="http://schemas.microsoft.com/office/drawing/2014/main" id="{54AD48F7-A970-3411-56E5-70560B8A2AC9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7"/>
          <a:srcRect t="89196"/>
          <a:stretch/>
        </xdr:blipFill>
        <xdr:spPr>
          <a:xfrm>
            <a:off x="8020050" y="21135975"/>
            <a:ext cx="5065685" cy="467250"/>
          </a:xfrm>
          <a:prstGeom prst="rect">
            <a:avLst/>
          </a:prstGeom>
        </xdr:spPr>
      </xdr:pic>
    </xdr:grpSp>
    <xdr:clientData/>
  </xdr:twoCellAnchor>
  <xdr:twoCellAnchor editAs="oneCell">
    <xdr:from>
      <xdr:col>13</xdr:col>
      <xdr:colOff>104775</xdr:colOff>
      <xdr:row>114</xdr:row>
      <xdr:rowOff>47625</xdr:rowOff>
    </xdr:from>
    <xdr:to>
      <xdr:col>21</xdr:col>
      <xdr:colOff>210245</xdr:colOff>
      <xdr:row>120</xdr:row>
      <xdr:rowOff>133521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3C58573B-D7FD-47D5-8695-AC3D0310C8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029575" y="21764625"/>
          <a:ext cx="4982270" cy="1228896"/>
        </a:xfrm>
        <a:prstGeom prst="rect">
          <a:avLst/>
        </a:prstGeom>
      </xdr:spPr>
    </xdr:pic>
    <xdr:clientData/>
  </xdr:twoCellAnchor>
  <xdr:twoCellAnchor editAs="oneCell">
    <xdr:from>
      <xdr:col>13</xdr:col>
      <xdr:colOff>171450</xdr:colOff>
      <xdr:row>121</xdr:row>
      <xdr:rowOff>104775</xdr:rowOff>
    </xdr:from>
    <xdr:to>
      <xdr:col>21</xdr:col>
      <xdr:colOff>248342</xdr:colOff>
      <xdr:row>142</xdr:row>
      <xdr:rowOff>39370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4A177C85-DA30-43E8-904D-6B2EA4E8AF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096250" y="23155275"/>
          <a:ext cx="4953692" cy="3935095"/>
        </a:xfrm>
        <a:prstGeom prst="rect">
          <a:avLst/>
        </a:prstGeom>
      </xdr:spPr>
    </xdr:pic>
    <xdr:clientData/>
  </xdr:twoCellAnchor>
  <xdr:twoCellAnchor editAs="oneCell">
    <xdr:from>
      <xdr:col>13</xdr:col>
      <xdr:colOff>104775</xdr:colOff>
      <xdr:row>143</xdr:row>
      <xdr:rowOff>47625</xdr:rowOff>
    </xdr:from>
    <xdr:to>
      <xdr:col>21</xdr:col>
      <xdr:colOff>324560</xdr:colOff>
      <xdr:row>148</xdr:row>
      <xdr:rowOff>115002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EB949151-FCEE-4B96-B612-F386A55FA5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029575" y="27289125"/>
          <a:ext cx="5096585" cy="101987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gwadestek-my.sharepoint.com/personal/puji_gwadestek_com/Documents/Documents/PUJI/JSB/Scoring%20LHRA.xlsm" TargetMode="External"/><Relationship Id="rId1" Type="http://schemas.openxmlformats.org/officeDocument/2006/relationships/externalLinkPath" Target="file:///C:\Users\compu\OneDrive%20-%20GWA%20Desain%20Teknologi\Documents\PUJI\JSB\Scoring%20LHR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FORM 1"/>
      <sheetName val="FORM 2"/>
      <sheetName val="FORM 3"/>
      <sheetName val="FORM 4"/>
      <sheetName val="CHECKLIST RATING 1"/>
      <sheetName val="CHECKLIST RATING"/>
      <sheetName val="reting"/>
      <sheetName val="FORM RATING"/>
      <sheetName val="Sheet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">
          <cell r="C2" t="str">
            <v>Sp01</v>
          </cell>
        </row>
        <row r="3">
          <cell r="C3" t="str">
            <v>Sp02</v>
          </cell>
        </row>
        <row r="4">
          <cell r="C4" t="str">
            <v>Sp03</v>
          </cell>
        </row>
        <row r="5">
          <cell r="C5" t="str">
            <v>Sp04</v>
          </cell>
        </row>
        <row r="6">
          <cell r="C6" t="str">
            <v>Sp05</v>
          </cell>
        </row>
        <row r="7">
          <cell r="C7" t="str">
            <v>Sp06</v>
          </cell>
        </row>
        <row r="8">
          <cell r="C8" t="str">
            <v>Sp07</v>
          </cell>
        </row>
        <row r="9">
          <cell r="C9" t="str">
            <v>Sp08</v>
          </cell>
        </row>
        <row r="10">
          <cell r="C10" t="str">
            <v>Sp09</v>
          </cell>
        </row>
        <row r="11">
          <cell r="C11" t="str">
            <v>Sp10</v>
          </cell>
        </row>
        <row r="12">
          <cell r="C12" t="str">
            <v>Sp11</v>
          </cell>
        </row>
        <row r="13">
          <cell r="C13" t="str">
            <v>Sp12</v>
          </cell>
        </row>
        <row r="14">
          <cell r="C14" t="str">
            <v>Sp13</v>
          </cell>
        </row>
        <row r="15">
          <cell r="C15" t="str">
            <v>Sp14</v>
          </cell>
        </row>
        <row r="16">
          <cell r="C16" t="str">
            <v>Sp15</v>
          </cell>
        </row>
        <row r="17">
          <cell r="C17" t="str">
            <v>Sp16</v>
          </cell>
        </row>
        <row r="18">
          <cell r="C18" t="str">
            <v>Sp17</v>
          </cell>
        </row>
        <row r="19">
          <cell r="C19" t="str">
            <v>Sp18</v>
          </cell>
        </row>
        <row r="20">
          <cell r="C20" t="str">
            <v>Sp19</v>
          </cell>
        </row>
        <row r="21">
          <cell r="C21" t="str">
            <v>Sp20</v>
          </cell>
        </row>
        <row r="22">
          <cell r="C22" t="str">
            <v>Sp21</v>
          </cell>
        </row>
        <row r="23">
          <cell r="C23" t="str">
            <v>Sp22</v>
          </cell>
        </row>
        <row r="24">
          <cell r="C24" t="str">
            <v>Sp23</v>
          </cell>
        </row>
        <row r="25">
          <cell r="C25" t="str">
            <v>Sp24</v>
          </cell>
        </row>
        <row r="26">
          <cell r="C26" t="str">
            <v>Sp25</v>
          </cell>
        </row>
        <row r="27">
          <cell r="C27" t="str">
            <v>Sp26</v>
          </cell>
        </row>
        <row r="28">
          <cell r="C28" t="str">
            <v>Sp27</v>
          </cell>
        </row>
        <row r="29">
          <cell r="C29" t="str">
            <v>Sp28</v>
          </cell>
        </row>
        <row r="30">
          <cell r="C30" t="str">
            <v>Sp29</v>
          </cell>
        </row>
        <row r="31">
          <cell r="C31" t="str">
            <v>Sp30</v>
          </cell>
        </row>
      </sheetData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control" Target="../activeX/activeX9.xml"/><Relationship Id="rId18" Type="http://schemas.openxmlformats.org/officeDocument/2006/relationships/control" Target="../activeX/activeX14.xml"/><Relationship Id="rId26" Type="http://schemas.openxmlformats.org/officeDocument/2006/relationships/control" Target="../activeX/activeX22.xml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7.xml"/><Relationship Id="rId7" Type="http://schemas.openxmlformats.org/officeDocument/2006/relationships/control" Target="../activeX/activeX3.xml"/><Relationship Id="rId12" Type="http://schemas.openxmlformats.org/officeDocument/2006/relationships/control" Target="../activeX/activeX8.xml"/><Relationship Id="rId17" Type="http://schemas.openxmlformats.org/officeDocument/2006/relationships/control" Target="../activeX/activeX13.xml"/><Relationship Id="rId25" Type="http://schemas.openxmlformats.org/officeDocument/2006/relationships/control" Target="../activeX/activeX2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12.xml"/><Relationship Id="rId20" Type="http://schemas.openxmlformats.org/officeDocument/2006/relationships/control" Target="../activeX/activeX16.xml"/><Relationship Id="rId29" Type="http://schemas.openxmlformats.org/officeDocument/2006/relationships/control" Target="../activeX/activeX25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7.xml"/><Relationship Id="rId24" Type="http://schemas.openxmlformats.org/officeDocument/2006/relationships/control" Target="../activeX/activeX20.xml"/><Relationship Id="rId5" Type="http://schemas.openxmlformats.org/officeDocument/2006/relationships/image" Target="../media/image1.emf"/><Relationship Id="rId15" Type="http://schemas.openxmlformats.org/officeDocument/2006/relationships/control" Target="../activeX/activeX11.xml"/><Relationship Id="rId23" Type="http://schemas.openxmlformats.org/officeDocument/2006/relationships/control" Target="../activeX/activeX19.xml"/><Relationship Id="rId28" Type="http://schemas.openxmlformats.org/officeDocument/2006/relationships/control" Target="../activeX/activeX24.xml"/><Relationship Id="rId10" Type="http://schemas.openxmlformats.org/officeDocument/2006/relationships/control" Target="../activeX/activeX6.xml"/><Relationship Id="rId19" Type="http://schemas.openxmlformats.org/officeDocument/2006/relationships/control" Target="../activeX/activeX15.xml"/><Relationship Id="rId31" Type="http://schemas.openxmlformats.org/officeDocument/2006/relationships/control" Target="../activeX/activeX27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Relationship Id="rId14" Type="http://schemas.openxmlformats.org/officeDocument/2006/relationships/control" Target="../activeX/activeX10.xml"/><Relationship Id="rId22" Type="http://schemas.openxmlformats.org/officeDocument/2006/relationships/control" Target="../activeX/activeX18.xml"/><Relationship Id="rId27" Type="http://schemas.openxmlformats.org/officeDocument/2006/relationships/control" Target="../activeX/activeX23.xml"/><Relationship Id="rId30" Type="http://schemas.openxmlformats.org/officeDocument/2006/relationships/control" Target="../activeX/activeX2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460CC-08D5-4198-A810-5FECA22BAF60}">
  <sheetPr codeName="Lembar12"/>
  <dimension ref="A3:R517"/>
  <sheetViews>
    <sheetView showGridLines="0" topLeftCell="J40" workbookViewId="0">
      <selection activeCell="O68" sqref="O68"/>
    </sheetView>
  </sheetViews>
  <sheetFormatPr defaultRowHeight="15" x14ac:dyDescent="0.25"/>
  <cols>
    <col min="1" max="1" width="3.140625" style="53" customWidth="1"/>
    <col min="3" max="3" width="31" bestFit="1" customWidth="1"/>
    <col min="4" max="4" width="18.42578125" customWidth="1"/>
    <col min="6" max="6" width="3.140625" style="53" customWidth="1"/>
    <col min="7" max="8" width="20.5703125" style="56" bestFit="1" customWidth="1"/>
    <col min="9" max="9" width="118.140625" style="77" customWidth="1"/>
    <col min="10" max="10" width="12.42578125" style="56" customWidth="1"/>
    <col min="12" max="12" width="3.140625" style="53" customWidth="1"/>
    <col min="14" max="14" width="20.5703125" style="56" bestFit="1" customWidth="1"/>
    <col min="15" max="15" width="27.42578125" style="56" bestFit="1" customWidth="1"/>
    <col min="16" max="16" width="59.140625" style="56" bestFit="1" customWidth="1"/>
    <col min="17" max="17" width="12.42578125" style="56" customWidth="1"/>
    <col min="18" max="18" width="9.140625" style="56"/>
  </cols>
  <sheetData>
    <row r="3" spans="1:18" ht="15.75" thickBot="1" x14ac:dyDescent="0.3">
      <c r="B3" s="118" t="s">
        <v>28</v>
      </c>
      <c r="C3" s="118"/>
      <c r="D3" s="118"/>
      <c r="E3" s="118"/>
      <c r="G3" s="118"/>
      <c r="H3" s="118"/>
      <c r="I3" s="118"/>
      <c r="J3" s="118"/>
      <c r="K3" s="118"/>
      <c r="M3" s="118" t="s">
        <v>29</v>
      </c>
      <c r="N3" s="118"/>
      <c r="O3" s="118"/>
      <c r="P3" s="118"/>
      <c r="Q3" s="118"/>
      <c r="R3" s="118"/>
    </row>
    <row r="4" spans="1:18" s="1" customFormat="1" ht="20.100000000000001" customHeight="1" x14ac:dyDescent="0.25">
      <c r="A4" s="68"/>
      <c r="B4" s="61"/>
      <c r="C4" s="62" t="s">
        <v>30</v>
      </c>
      <c r="D4" s="62" t="s">
        <v>31</v>
      </c>
      <c r="E4" s="61"/>
      <c r="F4" s="68"/>
      <c r="G4" s="62" t="s">
        <v>32</v>
      </c>
      <c r="H4" s="117" t="s">
        <v>33</v>
      </c>
      <c r="I4" s="117"/>
      <c r="J4" s="62" t="s">
        <v>34</v>
      </c>
      <c r="K4" s="69"/>
      <c r="L4" s="68"/>
      <c r="M4" s="61"/>
      <c r="N4" s="62" t="s">
        <v>32</v>
      </c>
      <c r="O4" s="117" t="s">
        <v>33</v>
      </c>
      <c r="P4" s="117"/>
      <c r="Q4" s="62" t="s">
        <v>34</v>
      </c>
      <c r="R4" s="62"/>
    </row>
    <row r="5" spans="1:18" s="1" customFormat="1" ht="20.100000000000001" customHeight="1" x14ac:dyDescent="0.25">
      <c r="A5" s="68"/>
      <c r="C5" s="2" t="s">
        <v>35</v>
      </c>
      <c r="D5" s="59">
        <v>6</v>
      </c>
      <c r="F5" s="68"/>
      <c r="G5" s="2" t="s">
        <v>35</v>
      </c>
      <c r="H5" s="2" t="s">
        <v>36</v>
      </c>
      <c r="I5" s="72" t="s">
        <v>37</v>
      </c>
      <c r="J5" s="59">
        <v>0.6</v>
      </c>
      <c r="L5" s="68"/>
      <c r="M5" s="3"/>
      <c r="N5" s="54" t="s">
        <v>15</v>
      </c>
      <c r="O5" s="54" t="s">
        <v>38</v>
      </c>
      <c r="P5" s="54" t="s">
        <v>38</v>
      </c>
      <c r="Q5" s="67">
        <v>0.2</v>
      </c>
      <c r="R5" s="54"/>
    </row>
    <row r="6" spans="1:18" s="1" customFormat="1" ht="20.100000000000001" customHeight="1" x14ac:dyDescent="0.25">
      <c r="A6" s="68"/>
      <c r="C6" s="2" t="s">
        <v>39</v>
      </c>
      <c r="D6" s="59">
        <v>4</v>
      </c>
      <c r="F6" s="68"/>
      <c r="G6" s="2"/>
      <c r="H6" s="2"/>
      <c r="I6" s="72" t="s">
        <v>40</v>
      </c>
      <c r="J6" s="59">
        <v>0.9</v>
      </c>
      <c r="L6" s="68"/>
      <c r="N6" s="2"/>
      <c r="O6" s="2" t="s">
        <v>41</v>
      </c>
      <c r="P6" s="2" t="s">
        <v>42</v>
      </c>
      <c r="Q6" s="59">
        <v>0.6</v>
      </c>
      <c r="R6" s="2"/>
    </row>
    <row r="7" spans="1:18" s="1" customFormat="1" ht="20.100000000000001" customHeight="1" x14ac:dyDescent="0.25">
      <c r="A7" s="68"/>
      <c r="C7" s="2" t="s">
        <v>43</v>
      </c>
      <c r="D7" s="59">
        <v>4</v>
      </c>
      <c r="F7" s="68"/>
      <c r="G7" s="2"/>
      <c r="H7" s="2"/>
      <c r="I7" s="72" t="s">
        <v>44</v>
      </c>
      <c r="J7" s="59">
        <v>1.2</v>
      </c>
      <c r="L7" s="68"/>
      <c r="N7" s="2"/>
      <c r="O7" s="2"/>
      <c r="P7" s="2" t="s">
        <v>45</v>
      </c>
      <c r="Q7" s="59">
        <v>0.8</v>
      </c>
      <c r="R7" s="2"/>
    </row>
    <row r="8" spans="1:18" s="1" customFormat="1" ht="20.100000000000001" customHeight="1" x14ac:dyDescent="0.25">
      <c r="A8" s="68"/>
      <c r="C8" s="2" t="s">
        <v>46</v>
      </c>
      <c r="D8" s="59">
        <v>6</v>
      </c>
      <c r="F8" s="68"/>
      <c r="G8" s="2"/>
      <c r="H8" s="2"/>
      <c r="I8" s="72" t="s">
        <v>47</v>
      </c>
      <c r="J8" s="59">
        <v>3</v>
      </c>
      <c r="L8" s="68"/>
      <c r="N8" s="2"/>
      <c r="O8" s="2"/>
      <c r="P8" s="2" t="s">
        <v>48</v>
      </c>
      <c r="Q8" s="59">
        <v>1</v>
      </c>
      <c r="R8" s="2"/>
    </row>
    <row r="9" spans="1:18" s="1" customFormat="1" ht="20.100000000000001" customHeight="1" x14ac:dyDescent="0.25">
      <c r="A9" s="68"/>
      <c r="C9" s="2" t="s">
        <v>49</v>
      </c>
      <c r="D9" s="59">
        <v>6</v>
      </c>
      <c r="F9" s="68"/>
      <c r="G9" s="2"/>
      <c r="H9" s="2"/>
      <c r="I9" s="72" t="s">
        <v>50</v>
      </c>
      <c r="J9" s="59">
        <v>4</v>
      </c>
      <c r="L9" s="68"/>
      <c r="N9" s="2"/>
      <c r="O9" s="2" t="s">
        <v>51</v>
      </c>
      <c r="P9" s="2" t="s">
        <v>42</v>
      </c>
      <c r="Q9" s="59">
        <v>0.6</v>
      </c>
      <c r="R9" s="2"/>
    </row>
    <row r="10" spans="1:18" s="1" customFormat="1" ht="20.100000000000001" customHeight="1" x14ac:dyDescent="0.25">
      <c r="A10" s="68"/>
      <c r="C10" s="2" t="s">
        <v>52</v>
      </c>
      <c r="D10" s="59">
        <v>4</v>
      </c>
      <c r="F10" s="68"/>
      <c r="G10" s="2"/>
      <c r="H10" s="2"/>
      <c r="I10" s="72" t="s">
        <v>53</v>
      </c>
      <c r="J10" s="59">
        <v>3.6</v>
      </c>
      <c r="L10" s="68"/>
      <c r="N10" s="2"/>
      <c r="O10" s="2"/>
      <c r="P10" s="2" t="s">
        <v>45</v>
      </c>
      <c r="Q10" s="59">
        <v>0.8</v>
      </c>
      <c r="R10" s="2"/>
    </row>
    <row r="11" spans="1:18" s="1" customFormat="1" ht="20.100000000000001" customHeight="1" x14ac:dyDescent="0.25">
      <c r="A11" s="68"/>
      <c r="C11" s="2" t="s">
        <v>54</v>
      </c>
      <c r="D11" s="59">
        <v>4</v>
      </c>
      <c r="F11" s="68"/>
      <c r="G11" s="2"/>
      <c r="H11" s="2"/>
      <c r="I11" s="72" t="s">
        <v>55</v>
      </c>
      <c r="J11" s="59">
        <v>4</v>
      </c>
      <c r="L11" s="68"/>
      <c r="N11" s="2"/>
      <c r="O11" s="2"/>
      <c r="P11" s="2" t="s">
        <v>48</v>
      </c>
      <c r="Q11" s="59">
        <v>1</v>
      </c>
      <c r="R11" s="2"/>
    </row>
    <row r="12" spans="1:18" s="1" customFormat="1" ht="20.100000000000001" customHeight="1" x14ac:dyDescent="0.25">
      <c r="A12" s="68"/>
      <c r="C12" s="2" t="s">
        <v>56</v>
      </c>
      <c r="D12" s="59">
        <v>4</v>
      </c>
      <c r="F12" s="68"/>
      <c r="G12" s="2"/>
      <c r="H12" s="2"/>
      <c r="I12" s="72" t="s">
        <v>57</v>
      </c>
      <c r="J12" s="59">
        <v>5.4</v>
      </c>
      <c r="L12" s="68"/>
      <c r="N12" s="2"/>
      <c r="O12" s="2" t="s">
        <v>58</v>
      </c>
      <c r="P12" s="2" t="s">
        <v>42</v>
      </c>
      <c r="Q12" s="59">
        <v>1.2</v>
      </c>
      <c r="R12" s="2"/>
    </row>
    <row r="13" spans="1:18" s="1" customFormat="1" ht="20.100000000000001" customHeight="1" x14ac:dyDescent="0.25">
      <c r="A13" s="68"/>
      <c r="C13" s="2" t="s">
        <v>59</v>
      </c>
      <c r="D13" s="59">
        <v>2</v>
      </c>
      <c r="F13" s="68"/>
      <c r="G13" s="2"/>
      <c r="H13" s="2"/>
      <c r="I13" s="72" t="s">
        <v>60</v>
      </c>
      <c r="J13" s="59">
        <v>6</v>
      </c>
      <c r="L13" s="68"/>
      <c r="N13" s="2"/>
      <c r="O13" s="2"/>
      <c r="P13" s="2" t="s">
        <v>45</v>
      </c>
      <c r="Q13" s="59">
        <v>1.6</v>
      </c>
      <c r="R13" s="2"/>
    </row>
    <row r="14" spans="1:18" s="1" customFormat="1" ht="20.100000000000001" customHeight="1" thickBot="1" x14ac:dyDescent="0.3">
      <c r="A14" s="68"/>
      <c r="B14" s="58"/>
      <c r="C14" s="57" t="s">
        <v>61</v>
      </c>
      <c r="D14" s="60">
        <f>SUM(D5:D13)</f>
        <v>40</v>
      </c>
      <c r="E14" s="58"/>
      <c r="F14" s="68"/>
      <c r="G14" s="2"/>
      <c r="H14" s="2" t="s">
        <v>11</v>
      </c>
      <c r="I14" s="72" t="s">
        <v>62</v>
      </c>
      <c r="J14" s="59">
        <v>2.4</v>
      </c>
      <c r="L14" s="68"/>
      <c r="M14" s="29"/>
      <c r="N14" s="30"/>
      <c r="O14" s="30"/>
      <c r="P14" s="30" t="s">
        <v>48</v>
      </c>
      <c r="Q14" s="66">
        <v>2</v>
      </c>
      <c r="R14" s="30"/>
    </row>
    <row r="15" spans="1:18" s="1" customFormat="1" ht="20.100000000000001" customHeight="1" x14ac:dyDescent="0.25">
      <c r="A15" s="68"/>
      <c r="F15" s="68"/>
      <c r="G15" s="2"/>
      <c r="H15" s="2"/>
      <c r="I15" s="72" t="s">
        <v>63</v>
      </c>
      <c r="J15" s="59">
        <v>3</v>
      </c>
      <c r="L15" s="68"/>
    </row>
    <row r="16" spans="1:18" s="1" customFormat="1" ht="20.100000000000001" customHeight="1" x14ac:dyDescent="0.25">
      <c r="A16" s="68"/>
      <c r="C16" s="64"/>
      <c r="D16" s="64"/>
      <c r="E16" s="64"/>
      <c r="F16" s="68"/>
      <c r="G16" s="2"/>
      <c r="H16" s="2"/>
      <c r="I16" s="72" t="s">
        <v>64</v>
      </c>
      <c r="J16" s="59">
        <v>4.2</v>
      </c>
      <c r="L16" s="68"/>
      <c r="N16" s="2"/>
      <c r="O16" s="2"/>
      <c r="P16" s="2"/>
      <c r="Q16" s="59"/>
      <c r="R16" s="2"/>
    </row>
    <row r="17" spans="1:18" s="1" customFormat="1" ht="20.100000000000001" customHeight="1" thickBot="1" x14ac:dyDescent="0.3">
      <c r="A17" s="68"/>
      <c r="B17" s="119" t="s">
        <v>65</v>
      </c>
      <c r="C17" s="119"/>
      <c r="D17" s="119"/>
      <c r="E17" s="119"/>
      <c r="F17" s="68"/>
      <c r="G17" s="2"/>
      <c r="H17" s="2"/>
      <c r="I17" s="73" t="s">
        <v>66</v>
      </c>
      <c r="J17" s="59">
        <v>5</v>
      </c>
      <c r="L17" s="68"/>
      <c r="M17" s="118" t="s">
        <v>67</v>
      </c>
      <c r="N17" s="118"/>
      <c r="O17" s="118"/>
      <c r="P17" s="118"/>
      <c r="Q17" s="118"/>
      <c r="R17" s="118"/>
    </row>
    <row r="18" spans="1:18" s="1" customFormat="1" ht="20.100000000000001" customHeight="1" thickBot="1" x14ac:dyDescent="0.3">
      <c r="A18" s="68"/>
      <c r="B18" s="61"/>
      <c r="C18" s="63" t="s">
        <v>68</v>
      </c>
      <c r="D18" s="63" t="s">
        <v>69</v>
      </c>
      <c r="E18" s="61"/>
      <c r="F18" s="68"/>
      <c r="G18" s="30"/>
      <c r="H18" s="30"/>
      <c r="I18" s="74" t="s">
        <v>70</v>
      </c>
      <c r="J18" s="66">
        <v>6</v>
      </c>
      <c r="K18" s="29"/>
      <c r="L18" s="68"/>
      <c r="M18" s="61"/>
      <c r="N18" s="62" t="s">
        <v>32</v>
      </c>
      <c r="O18" s="117" t="s">
        <v>33</v>
      </c>
      <c r="P18" s="117"/>
      <c r="Q18" s="62" t="s">
        <v>34</v>
      </c>
      <c r="R18" s="62"/>
    </row>
    <row r="19" spans="1:18" s="1" customFormat="1" ht="20.100000000000001" customHeight="1" x14ac:dyDescent="0.25">
      <c r="A19" s="68"/>
      <c r="B19" s="3"/>
      <c r="C19" s="54" t="s">
        <v>71</v>
      </c>
      <c r="D19" s="54" t="s">
        <v>72</v>
      </c>
      <c r="E19" s="3"/>
      <c r="F19" s="68"/>
      <c r="G19" s="2"/>
      <c r="H19" s="2"/>
      <c r="I19" s="72"/>
      <c r="J19" s="2"/>
      <c r="L19" s="68"/>
      <c r="N19" s="2" t="s">
        <v>73</v>
      </c>
      <c r="O19" s="2"/>
      <c r="P19" s="2" t="s">
        <v>74</v>
      </c>
      <c r="Q19" s="59">
        <v>1</v>
      </c>
      <c r="R19" s="2"/>
    </row>
    <row r="20" spans="1:18" s="1" customFormat="1" ht="20.100000000000001" customHeight="1" thickBot="1" x14ac:dyDescent="0.3">
      <c r="A20" s="68"/>
      <c r="C20" s="2" t="s">
        <v>75</v>
      </c>
      <c r="D20" s="2" t="s">
        <v>76</v>
      </c>
      <c r="F20" s="68"/>
      <c r="G20" s="120"/>
      <c r="H20" s="120"/>
      <c r="I20" s="120"/>
      <c r="J20" s="120"/>
      <c r="K20" s="120"/>
      <c r="L20" s="68"/>
      <c r="N20" s="2"/>
      <c r="O20" s="2"/>
      <c r="P20" s="2" t="s">
        <v>77</v>
      </c>
      <c r="Q20" s="59">
        <v>2</v>
      </c>
      <c r="R20" s="2"/>
    </row>
    <row r="21" spans="1:18" s="1" customFormat="1" ht="20.100000000000001" customHeight="1" x14ac:dyDescent="0.25">
      <c r="A21" s="68"/>
      <c r="C21" s="2" t="s">
        <v>78</v>
      </c>
      <c r="D21" s="2" t="s">
        <v>79</v>
      </c>
      <c r="F21" s="68"/>
      <c r="G21" s="62" t="s">
        <v>32</v>
      </c>
      <c r="H21" s="117" t="s">
        <v>33</v>
      </c>
      <c r="I21" s="117"/>
      <c r="J21" s="62" t="s">
        <v>34</v>
      </c>
      <c r="K21" s="69"/>
      <c r="L21" s="68"/>
      <c r="N21" s="2"/>
      <c r="O21" s="2"/>
      <c r="P21" s="2" t="s">
        <v>80</v>
      </c>
      <c r="Q21" s="59">
        <v>2.2000000000000002</v>
      </c>
      <c r="R21" s="2"/>
    </row>
    <row r="22" spans="1:18" s="1" customFormat="1" ht="20.100000000000001" customHeight="1" x14ac:dyDescent="0.25">
      <c r="A22" s="68"/>
      <c r="C22" s="2" t="s">
        <v>81</v>
      </c>
      <c r="D22" s="2" t="s">
        <v>82</v>
      </c>
      <c r="F22" s="68"/>
      <c r="G22" s="54" t="s">
        <v>39</v>
      </c>
      <c r="H22" s="54"/>
      <c r="I22" s="75" t="s">
        <v>83</v>
      </c>
      <c r="J22" s="67">
        <v>0.6</v>
      </c>
      <c r="K22" s="3"/>
      <c r="L22" s="68"/>
      <c r="N22" s="2"/>
      <c r="O22" s="2"/>
      <c r="P22" s="2" t="s">
        <v>84</v>
      </c>
      <c r="Q22" s="59">
        <v>2</v>
      </c>
      <c r="R22" s="2"/>
    </row>
    <row r="23" spans="1:18" s="1" customFormat="1" ht="20.100000000000001" customHeight="1" thickBot="1" x14ac:dyDescent="0.3">
      <c r="A23" s="68"/>
      <c r="B23" s="29"/>
      <c r="C23" s="30" t="s">
        <v>85</v>
      </c>
      <c r="D23" s="30" t="s">
        <v>86</v>
      </c>
      <c r="E23" s="29"/>
      <c r="F23" s="68"/>
      <c r="G23" s="2"/>
      <c r="H23" s="2"/>
      <c r="I23" s="72" t="s">
        <v>87</v>
      </c>
      <c r="J23" s="59">
        <v>1.2</v>
      </c>
      <c r="L23" s="68"/>
      <c r="M23" s="29"/>
      <c r="N23" s="30"/>
      <c r="O23" s="30"/>
      <c r="P23" s="30" t="s">
        <v>88</v>
      </c>
      <c r="Q23" s="66">
        <v>4</v>
      </c>
      <c r="R23" s="30"/>
    </row>
    <row r="24" spans="1:18" s="1" customFormat="1" ht="19.5" customHeight="1" x14ac:dyDescent="0.25">
      <c r="A24" s="68"/>
      <c r="C24" s="2"/>
      <c r="D24" s="2"/>
      <c r="F24" s="68"/>
      <c r="G24" s="2"/>
      <c r="H24" s="2"/>
      <c r="I24" s="72" t="s">
        <v>89</v>
      </c>
      <c r="J24" s="59">
        <v>1.8</v>
      </c>
      <c r="L24" s="68"/>
      <c r="N24" s="2"/>
      <c r="O24" s="2"/>
      <c r="P24" s="2"/>
      <c r="Q24" s="59"/>
      <c r="R24" s="2"/>
    </row>
    <row r="25" spans="1:18" s="1" customFormat="1" ht="20.100000000000001" customHeight="1" thickBot="1" x14ac:dyDescent="0.3">
      <c r="A25" s="68"/>
      <c r="C25" s="2"/>
      <c r="D25" s="2"/>
      <c r="F25" s="68"/>
      <c r="G25" s="2"/>
      <c r="H25" s="2"/>
      <c r="I25" s="72" t="s">
        <v>90</v>
      </c>
      <c r="J25" s="59">
        <v>2.4</v>
      </c>
      <c r="L25" s="68"/>
      <c r="M25" s="118" t="s">
        <v>91</v>
      </c>
      <c r="N25" s="118"/>
      <c r="O25" s="118"/>
      <c r="P25" s="118"/>
      <c r="Q25" s="118"/>
      <c r="R25" s="118"/>
    </row>
    <row r="26" spans="1:18" s="1" customFormat="1" ht="20.100000000000001" customHeight="1" x14ac:dyDescent="0.25">
      <c r="A26" s="68"/>
      <c r="C26" s="2"/>
      <c r="D26" s="2"/>
      <c r="F26" s="68"/>
      <c r="G26" s="2"/>
      <c r="H26" s="2"/>
      <c r="I26" s="72" t="s">
        <v>92</v>
      </c>
      <c r="J26" s="59">
        <v>3</v>
      </c>
      <c r="L26" s="68"/>
      <c r="M26" s="61"/>
      <c r="N26" s="62" t="s">
        <v>32</v>
      </c>
      <c r="O26" s="117" t="s">
        <v>33</v>
      </c>
      <c r="P26" s="117"/>
      <c r="Q26" s="62" t="s">
        <v>34</v>
      </c>
      <c r="R26" s="62"/>
    </row>
    <row r="27" spans="1:18" s="1" customFormat="1" ht="20.100000000000001" customHeight="1" thickBot="1" x14ac:dyDescent="0.3">
      <c r="A27" s="68"/>
      <c r="C27" s="2"/>
      <c r="F27" s="68"/>
      <c r="G27" s="30"/>
      <c r="H27" s="30"/>
      <c r="I27" s="76" t="s">
        <v>93</v>
      </c>
      <c r="J27" s="66">
        <v>4</v>
      </c>
      <c r="K27" s="29"/>
      <c r="L27" s="68"/>
      <c r="M27" s="3"/>
      <c r="N27" s="54" t="s">
        <v>94</v>
      </c>
      <c r="O27" s="54" t="s">
        <v>95</v>
      </c>
      <c r="P27" s="54" t="s">
        <v>96</v>
      </c>
      <c r="Q27" s="54">
        <v>0</v>
      </c>
    </row>
    <row r="28" spans="1:18" s="1" customFormat="1" ht="20.100000000000001" customHeight="1" x14ac:dyDescent="0.25">
      <c r="A28" s="68"/>
      <c r="F28" s="68"/>
      <c r="G28" s="2"/>
      <c r="H28" s="2"/>
      <c r="I28" s="72"/>
      <c r="J28" s="2"/>
      <c r="L28" s="68"/>
      <c r="N28" s="2" t="s">
        <v>97</v>
      </c>
      <c r="O28" s="2"/>
      <c r="P28" s="2" t="s">
        <v>98</v>
      </c>
      <c r="Q28" s="59">
        <v>0.8</v>
      </c>
      <c r="R28" s="2"/>
    </row>
    <row r="29" spans="1:18" s="1" customFormat="1" ht="20.100000000000001" customHeight="1" thickBot="1" x14ac:dyDescent="0.3">
      <c r="A29" s="68"/>
      <c r="F29" s="68"/>
      <c r="G29" s="118"/>
      <c r="H29" s="118"/>
      <c r="I29" s="118"/>
      <c r="J29" s="118"/>
      <c r="K29" s="118"/>
      <c r="L29" s="68"/>
      <c r="N29" s="2"/>
      <c r="O29" s="2"/>
      <c r="P29" s="70" t="s">
        <v>99</v>
      </c>
      <c r="Q29" s="59">
        <v>1</v>
      </c>
      <c r="R29" s="2"/>
    </row>
    <row r="30" spans="1:18" s="1" customFormat="1" ht="20.100000000000001" customHeight="1" x14ac:dyDescent="0.25">
      <c r="A30" s="68"/>
      <c r="F30" s="68"/>
      <c r="G30" s="62" t="s">
        <v>32</v>
      </c>
      <c r="H30" s="117" t="s">
        <v>33</v>
      </c>
      <c r="I30" s="117"/>
      <c r="J30" s="62" t="s">
        <v>34</v>
      </c>
      <c r="K30" s="69"/>
      <c r="L30" s="68"/>
      <c r="N30" s="2"/>
      <c r="O30" s="2"/>
      <c r="P30" s="71" t="s">
        <v>100</v>
      </c>
      <c r="Q30" s="59">
        <v>1.2</v>
      </c>
      <c r="R30" s="2"/>
    </row>
    <row r="31" spans="1:18" s="1" customFormat="1" ht="20.100000000000001" customHeight="1" x14ac:dyDescent="0.25">
      <c r="A31" s="68"/>
      <c r="F31" s="68"/>
      <c r="G31" s="54" t="s">
        <v>43</v>
      </c>
      <c r="H31" s="55" t="s">
        <v>101</v>
      </c>
      <c r="I31" s="75" t="s">
        <v>102</v>
      </c>
      <c r="J31" s="67">
        <v>0.2</v>
      </c>
      <c r="K31" s="3"/>
      <c r="L31" s="68"/>
      <c r="N31" s="2"/>
      <c r="O31" s="2"/>
      <c r="P31" s="2" t="s">
        <v>103</v>
      </c>
      <c r="Q31" s="59">
        <v>1.4</v>
      </c>
      <c r="R31" s="2"/>
    </row>
    <row r="32" spans="1:18" s="1" customFormat="1" ht="20.100000000000001" customHeight="1" x14ac:dyDescent="0.25">
      <c r="A32" s="68"/>
      <c r="F32" s="68"/>
      <c r="G32" s="2"/>
      <c r="H32" s="2" t="s">
        <v>104</v>
      </c>
      <c r="I32" s="72" t="s">
        <v>105</v>
      </c>
      <c r="J32" s="59">
        <v>0.4</v>
      </c>
      <c r="L32" s="68"/>
      <c r="N32" s="2"/>
      <c r="O32" s="2" t="s">
        <v>106</v>
      </c>
      <c r="P32" s="2" t="s">
        <v>96</v>
      </c>
      <c r="Q32" s="59">
        <v>0</v>
      </c>
      <c r="R32" s="2"/>
    </row>
    <row r="33" spans="1:18" s="1" customFormat="1" ht="20.100000000000001" customHeight="1" x14ac:dyDescent="0.25">
      <c r="A33" s="68"/>
      <c r="F33" s="68"/>
      <c r="G33" s="2"/>
      <c r="H33" s="2"/>
      <c r="I33" s="72" t="s">
        <v>107</v>
      </c>
      <c r="J33" s="59">
        <v>0.6</v>
      </c>
      <c r="L33" s="68"/>
      <c r="N33" s="2"/>
      <c r="P33" s="2" t="s">
        <v>108</v>
      </c>
      <c r="Q33" s="59">
        <v>0.8</v>
      </c>
      <c r="R33" s="2"/>
    </row>
    <row r="34" spans="1:18" s="1" customFormat="1" ht="20.100000000000001" customHeight="1" x14ac:dyDescent="0.25">
      <c r="A34" s="68"/>
      <c r="F34" s="68"/>
      <c r="G34" s="2"/>
      <c r="H34" s="2"/>
      <c r="I34" s="72" t="s">
        <v>109</v>
      </c>
      <c r="J34" s="59">
        <v>0.8</v>
      </c>
      <c r="L34" s="68"/>
      <c r="N34" s="2"/>
      <c r="O34" s="2"/>
      <c r="P34" s="71" t="s">
        <v>110</v>
      </c>
      <c r="Q34" s="59">
        <v>1.2</v>
      </c>
      <c r="R34" s="2"/>
    </row>
    <row r="35" spans="1:18" s="1" customFormat="1" ht="20.100000000000001" customHeight="1" x14ac:dyDescent="0.25">
      <c r="A35" s="68"/>
      <c r="F35" s="68"/>
      <c r="G35" s="2"/>
      <c r="H35" s="2"/>
      <c r="I35" s="72" t="s">
        <v>111</v>
      </c>
      <c r="J35" s="59">
        <v>1</v>
      </c>
      <c r="L35" s="68"/>
      <c r="N35" s="2"/>
      <c r="O35" s="2"/>
      <c r="P35" s="71" t="s">
        <v>112</v>
      </c>
      <c r="Q35" s="59">
        <v>1.2</v>
      </c>
      <c r="R35" s="2"/>
    </row>
    <row r="36" spans="1:18" s="1" customFormat="1" ht="20.100000000000001" customHeight="1" x14ac:dyDescent="0.25">
      <c r="A36" s="68"/>
      <c r="F36" s="68"/>
      <c r="G36" s="2"/>
      <c r="H36" s="2" t="s">
        <v>113</v>
      </c>
      <c r="I36" s="72" t="s">
        <v>114</v>
      </c>
      <c r="J36" s="59">
        <v>0.2</v>
      </c>
      <c r="L36" s="68"/>
      <c r="N36" s="2"/>
      <c r="O36" s="2"/>
      <c r="P36" s="2" t="s">
        <v>115</v>
      </c>
      <c r="Q36" s="59">
        <v>1.4</v>
      </c>
      <c r="R36" s="2"/>
    </row>
    <row r="37" spans="1:18" s="1" customFormat="1" ht="20.100000000000001" customHeight="1" x14ac:dyDescent="0.25">
      <c r="A37" s="68"/>
      <c r="F37" s="68"/>
      <c r="G37" s="2"/>
      <c r="H37" s="2" t="s">
        <v>116</v>
      </c>
      <c r="I37" s="72" t="s">
        <v>117</v>
      </c>
      <c r="J37" s="59">
        <v>0.4</v>
      </c>
      <c r="L37" s="68"/>
      <c r="N37" s="2"/>
      <c r="O37" s="2" t="s">
        <v>118</v>
      </c>
      <c r="P37" s="2" t="s">
        <v>96</v>
      </c>
      <c r="Q37" s="59">
        <v>0</v>
      </c>
      <c r="R37" s="2"/>
    </row>
    <row r="38" spans="1:18" s="1" customFormat="1" ht="20.100000000000001" customHeight="1" x14ac:dyDescent="0.25">
      <c r="A38" s="68"/>
      <c r="F38" s="68"/>
      <c r="G38" s="2"/>
      <c r="H38" s="2"/>
      <c r="I38" s="72" t="s">
        <v>119</v>
      </c>
      <c r="J38" s="59">
        <v>0.6</v>
      </c>
      <c r="L38" s="68"/>
      <c r="N38" s="2"/>
      <c r="P38" s="71" t="s">
        <v>120</v>
      </c>
      <c r="Q38" s="59">
        <v>0.8</v>
      </c>
      <c r="R38" s="2"/>
    </row>
    <row r="39" spans="1:18" s="1" customFormat="1" ht="20.100000000000001" customHeight="1" x14ac:dyDescent="0.25">
      <c r="A39" s="68"/>
      <c r="F39" s="68"/>
      <c r="G39" s="2"/>
      <c r="H39" s="2"/>
      <c r="I39" s="72" t="s">
        <v>121</v>
      </c>
      <c r="J39" s="59">
        <v>0.8</v>
      </c>
      <c r="L39" s="68"/>
      <c r="N39" s="2"/>
      <c r="O39" s="2"/>
      <c r="P39" s="71" t="s">
        <v>122</v>
      </c>
      <c r="Q39" s="59">
        <v>1</v>
      </c>
      <c r="R39" s="2"/>
    </row>
    <row r="40" spans="1:18" s="1" customFormat="1" ht="20.100000000000001" customHeight="1" x14ac:dyDescent="0.25">
      <c r="A40" s="68"/>
      <c r="F40" s="68"/>
      <c r="G40" s="2"/>
      <c r="H40" s="2"/>
      <c r="I40" s="72" t="s">
        <v>123</v>
      </c>
      <c r="J40" s="59">
        <v>1</v>
      </c>
      <c r="L40" s="68"/>
      <c r="N40" s="2"/>
      <c r="O40" s="2"/>
      <c r="P40" s="71" t="s">
        <v>124</v>
      </c>
      <c r="Q40" s="59">
        <v>1.2</v>
      </c>
      <c r="R40" s="2"/>
    </row>
    <row r="41" spans="1:18" s="1" customFormat="1" ht="20.100000000000001" customHeight="1" x14ac:dyDescent="0.25">
      <c r="A41" s="68"/>
      <c r="F41" s="68"/>
      <c r="G41" s="2"/>
      <c r="H41" s="2" t="s">
        <v>125</v>
      </c>
      <c r="I41" s="72" t="s">
        <v>126</v>
      </c>
      <c r="J41" s="59">
        <v>0.2</v>
      </c>
      <c r="L41" s="68"/>
      <c r="N41" s="2" t="s">
        <v>94</v>
      </c>
      <c r="O41" s="2" t="s">
        <v>95</v>
      </c>
      <c r="P41" s="2" t="s">
        <v>96</v>
      </c>
      <c r="Q41" s="2">
        <v>0</v>
      </c>
      <c r="R41" s="2"/>
    </row>
    <row r="42" spans="1:18" s="1" customFormat="1" ht="20.100000000000001" customHeight="1" x14ac:dyDescent="0.25">
      <c r="A42" s="68"/>
      <c r="F42" s="68"/>
      <c r="G42" s="2"/>
      <c r="H42" s="2"/>
      <c r="I42" s="72" t="s">
        <v>127</v>
      </c>
      <c r="J42" s="59">
        <v>0.4</v>
      </c>
      <c r="L42" s="68"/>
      <c r="N42" s="2" t="s">
        <v>128</v>
      </c>
      <c r="O42" s="2"/>
      <c r="P42" s="2" t="s">
        <v>129</v>
      </c>
      <c r="Q42" s="59">
        <v>0.5</v>
      </c>
      <c r="R42" s="2"/>
    </row>
    <row r="43" spans="1:18" s="1" customFormat="1" ht="20.100000000000001" customHeight="1" x14ac:dyDescent="0.25">
      <c r="A43" s="68"/>
      <c r="F43" s="68"/>
      <c r="G43" s="2"/>
      <c r="H43" s="2"/>
      <c r="I43" s="72" t="s">
        <v>130</v>
      </c>
      <c r="J43" s="59">
        <v>0.6</v>
      </c>
      <c r="L43" s="68"/>
      <c r="N43" s="2"/>
      <c r="O43" s="2"/>
      <c r="P43" s="2" t="s">
        <v>131</v>
      </c>
      <c r="Q43" s="59">
        <v>0.6</v>
      </c>
      <c r="R43" s="2"/>
    </row>
    <row r="44" spans="1:18" s="1" customFormat="1" ht="20.100000000000001" customHeight="1" x14ac:dyDescent="0.25">
      <c r="A44" s="68"/>
      <c r="F44" s="68"/>
      <c r="G44" s="2"/>
      <c r="H44" s="2"/>
      <c r="I44" s="72" t="s">
        <v>132</v>
      </c>
      <c r="J44" s="59">
        <v>0.8</v>
      </c>
      <c r="L44" s="68"/>
      <c r="N44" s="2"/>
      <c r="O44" s="2"/>
      <c r="P44" s="2" t="s">
        <v>133</v>
      </c>
      <c r="Q44" s="59">
        <v>0.7</v>
      </c>
      <c r="R44" s="2"/>
    </row>
    <row r="45" spans="1:18" s="1" customFormat="1" ht="20.100000000000001" customHeight="1" x14ac:dyDescent="0.25">
      <c r="A45" s="68"/>
      <c r="F45" s="68"/>
      <c r="G45" s="2"/>
      <c r="H45" s="2"/>
      <c r="I45" s="72" t="s">
        <v>134</v>
      </c>
      <c r="J45" s="59">
        <v>1</v>
      </c>
      <c r="L45" s="68"/>
      <c r="N45" s="2"/>
      <c r="O45" s="2" t="s">
        <v>135</v>
      </c>
      <c r="P45" s="2" t="s">
        <v>96</v>
      </c>
      <c r="Q45" s="59">
        <v>0</v>
      </c>
      <c r="R45" s="2"/>
    </row>
    <row r="46" spans="1:18" s="1" customFormat="1" ht="20.100000000000001" customHeight="1" x14ac:dyDescent="0.25">
      <c r="A46" s="68"/>
      <c r="F46" s="68"/>
      <c r="G46" s="2"/>
      <c r="H46" s="2" t="s">
        <v>136</v>
      </c>
      <c r="I46" s="72" t="s">
        <v>137</v>
      </c>
      <c r="J46" s="59">
        <v>0.4</v>
      </c>
      <c r="L46" s="68"/>
      <c r="N46" s="2"/>
      <c r="P46" s="71" t="s">
        <v>138</v>
      </c>
      <c r="Q46" s="59">
        <v>0.4</v>
      </c>
      <c r="R46" s="2"/>
    </row>
    <row r="47" spans="1:18" s="1" customFormat="1" ht="20.100000000000001" customHeight="1" x14ac:dyDescent="0.25">
      <c r="A47" s="68"/>
      <c r="F47" s="68"/>
      <c r="G47" s="2"/>
      <c r="H47" s="2"/>
      <c r="I47" s="72" t="s">
        <v>139</v>
      </c>
      <c r="J47" s="59">
        <v>0.6</v>
      </c>
      <c r="L47" s="68"/>
      <c r="N47" s="2"/>
      <c r="O47" s="2"/>
      <c r="P47" s="71" t="s">
        <v>140</v>
      </c>
      <c r="Q47" s="59">
        <v>0.6</v>
      </c>
      <c r="R47" s="2"/>
    </row>
    <row r="48" spans="1:18" s="1" customFormat="1" ht="20.100000000000001" customHeight="1" x14ac:dyDescent="0.25">
      <c r="A48" s="68"/>
      <c r="F48" s="68"/>
      <c r="G48" s="2"/>
      <c r="H48" s="2"/>
      <c r="I48" s="72" t="s">
        <v>141</v>
      </c>
      <c r="J48" s="59">
        <v>0.8</v>
      </c>
      <c r="L48" s="68"/>
      <c r="N48" s="2"/>
      <c r="O48" s="2"/>
      <c r="P48" s="71" t="s">
        <v>142</v>
      </c>
      <c r="Q48" s="59">
        <v>0.8</v>
      </c>
      <c r="R48" s="2"/>
    </row>
    <row r="49" spans="1:18" s="1" customFormat="1" ht="20.100000000000001" customHeight="1" thickBot="1" x14ac:dyDescent="0.3">
      <c r="A49" s="68"/>
      <c r="F49" s="68"/>
      <c r="G49" s="30"/>
      <c r="H49" s="30"/>
      <c r="I49" s="76" t="s">
        <v>143</v>
      </c>
      <c r="J49" s="66">
        <v>1</v>
      </c>
      <c r="K49" s="29"/>
      <c r="L49" s="68"/>
      <c r="N49" s="2"/>
      <c r="O49" s="2"/>
      <c r="P49" s="71" t="s">
        <v>144</v>
      </c>
      <c r="Q49" s="59">
        <v>1</v>
      </c>
      <c r="R49" s="2"/>
    </row>
    <row r="50" spans="1:18" s="1" customFormat="1" ht="20.100000000000001" customHeight="1" x14ac:dyDescent="0.25">
      <c r="A50" s="68"/>
      <c r="F50" s="68"/>
      <c r="G50" s="2"/>
      <c r="H50" s="2"/>
      <c r="I50" s="72"/>
      <c r="J50" s="59"/>
      <c r="L50" s="68"/>
      <c r="N50" s="2"/>
      <c r="O50" s="2"/>
      <c r="P50" s="2" t="s">
        <v>145</v>
      </c>
      <c r="Q50" s="59">
        <v>1.2</v>
      </c>
      <c r="R50" s="2"/>
    </row>
    <row r="51" spans="1:18" s="1" customFormat="1" ht="20.100000000000001" customHeight="1" thickBot="1" x14ac:dyDescent="0.3">
      <c r="A51" s="68"/>
      <c r="F51" s="68"/>
      <c r="G51" s="118"/>
      <c r="H51" s="118"/>
      <c r="I51" s="118"/>
      <c r="J51" s="118"/>
      <c r="K51" s="118"/>
      <c r="L51" s="68"/>
      <c r="N51" s="2"/>
      <c r="O51" s="2" t="s">
        <v>146</v>
      </c>
      <c r="P51" s="2" t="s">
        <v>96</v>
      </c>
      <c r="Q51" s="59">
        <v>0</v>
      </c>
      <c r="R51" s="2"/>
    </row>
    <row r="52" spans="1:18" s="1" customFormat="1" ht="20.100000000000001" customHeight="1" x14ac:dyDescent="0.25">
      <c r="A52" s="68"/>
      <c r="F52" s="68"/>
      <c r="G52" s="62" t="s">
        <v>32</v>
      </c>
      <c r="H52" s="117" t="s">
        <v>33</v>
      </c>
      <c r="I52" s="117"/>
      <c r="J52" s="62" t="s">
        <v>34</v>
      </c>
      <c r="K52" s="69"/>
      <c r="L52" s="68"/>
      <c r="N52" s="2"/>
      <c r="P52" s="71" t="s">
        <v>147</v>
      </c>
      <c r="Q52" s="59">
        <v>0.8</v>
      </c>
      <c r="R52" s="2"/>
    </row>
    <row r="53" spans="1:18" s="1" customFormat="1" ht="20.100000000000001" customHeight="1" x14ac:dyDescent="0.25">
      <c r="A53" s="68"/>
      <c r="F53" s="68"/>
      <c r="G53" s="54" t="s">
        <v>13</v>
      </c>
      <c r="H53" s="54" t="s">
        <v>148</v>
      </c>
      <c r="I53" s="75" t="s">
        <v>149</v>
      </c>
      <c r="J53" s="67">
        <v>0.4</v>
      </c>
      <c r="K53" s="3"/>
      <c r="L53" s="68"/>
      <c r="N53" s="2"/>
      <c r="O53" s="2"/>
      <c r="P53" s="71" t="s">
        <v>150</v>
      </c>
      <c r="Q53" s="59">
        <v>1.2</v>
      </c>
      <c r="R53" s="2"/>
    </row>
    <row r="54" spans="1:18" s="1" customFormat="1" ht="20.100000000000001" customHeight="1" thickBot="1" x14ac:dyDescent="0.3">
      <c r="A54" s="68"/>
      <c r="F54" s="68"/>
      <c r="G54" s="2"/>
      <c r="H54" s="2"/>
      <c r="I54" s="72" t="s">
        <v>151</v>
      </c>
      <c r="J54" s="59">
        <v>0.8</v>
      </c>
      <c r="L54" s="68"/>
      <c r="M54" s="29"/>
      <c r="N54" s="30"/>
      <c r="O54" s="30"/>
      <c r="P54" s="65" t="s">
        <v>152</v>
      </c>
      <c r="Q54" s="66">
        <v>1.4</v>
      </c>
      <c r="R54" s="30"/>
    </row>
    <row r="55" spans="1:18" s="1" customFormat="1" ht="20.100000000000001" customHeight="1" x14ac:dyDescent="0.25">
      <c r="A55" s="68"/>
      <c r="F55" s="68"/>
      <c r="G55" s="2"/>
      <c r="H55" s="2"/>
      <c r="I55" s="72" t="s">
        <v>153</v>
      </c>
      <c r="J55" s="59">
        <v>1.2</v>
      </c>
      <c r="L55" s="68"/>
      <c r="N55" s="2"/>
      <c r="O55" s="2"/>
      <c r="P55" s="2"/>
      <c r="Q55" s="59"/>
      <c r="R55" s="2"/>
    </row>
    <row r="56" spans="1:18" s="1" customFormat="1" ht="20.100000000000001" customHeight="1" thickBot="1" x14ac:dyDescent="0.3">
      <c r="A56" s="68"/>
      <c r="F56" s="68"/>
      <c r="G56" s="2"/>
      <c r="H56" s="2"/>
      <c r="I56" s="72" t="s">
        <v>154</v>
      </c>
      <c r="J56" s="59">
        <v>1.6</v>
      </c>
      <c r="L56" s="68"/>
      <c r="M56" s="118" t="s">
        <v>155</v>
      </c>
      <c r="N56" s="118"/>
      <c r="O56" s="118"/>
      <c r="P56" s="118"/>
      <c r="Q56" s="118"/>
      <c r="R56" s="118"/>
    </row>
    <row r="57" spans="1:18" s="1" customFormat="1" ht="20.100000000000001" customHeight="1" x14ac:dyDescent="0.25">
      <c r="A57" s="68"/>
      <c r="F57" s="68"/>
      <c r="G57" s="2"/>
      <c r="H57" s="2"/>
      <c r="I57" s="72" t="s">
        <v>156</v>
      </c>
      <c r="J57" s="59">
        <v>2</v>
      </c>
      <c r="L57" s="68"/>
      <c r="M57" s="61"/>
      <c r="N57" s="62" t="s">
        <v>32</v>
      </c>
      <c r="O57" s="117" t="s">
        <v>33</v>
      </c>
      <c r="P57" s="117"/>
      <c r="Q57" s="62" t="s">
        <v>34</v>
      </c>
      <c r="R57" s="62"/>
    </row>
    <row r="58" spans="1:18" s="1" customFormat="1" ht="20.100000000000001" customHeight="1" x14ac:dyDescent="0.25">
      <c r="A58" s="68"/>
      <c r="F58" s="68"/>
      <c r="G58" s="2"/>
      <c r="H58" s="2" t="s">
        <v>157</v>
      </c>
      <c r="I58" s="72" t="s">
        <v>149</v>
      </c>
      <c r="J58" s="59">
        <v>0.8</v>
      </c>
      <c r="L58" s="68"/>
      <c r="M58" s="3"/>
      <c r="N58" s="54" t="s">
        <v>59</v>
      </c>
      <c r="O58" s="54"/>
      <c r="P58" s="54" t="s">
        <v>158</v>
      </c>
      <c r="Q58" s="67">
        <v>0.5</v>
      </c>
      <c r="R58" s="54"/>
    </row>
    <row r="59" spans="1:18" s="1" customFormat="1" ht="20.100000000000001" customHeight="1" x14ac:dyDescent="0.25">
      <c r="A59" s="68"/>
      <c r="F59" s="68"/>
      <c r="G59" s="2"/>
      <c r="H59" s="2"/>
      <c r="I59" s="72" t="s">
        <v>159</v>
      </c>
      <c r="J59" s="59">
        <v>1.4</v>
      </c>
      <c r="L59" s="68"/>
      <c r="N59" s="2"/>
      <c r="O59" s="2"/>
      <c r="P59" s="2" t="s">
        <v>160</v>
      </c>
      <c r="Q59" s="59">
        <v>1</v>
      </c>
      <c r="R59" s="2"/>
    </row>
    <row r="60" spans="1:18" s="1" customFormat="1" ht="20.100000000000001" customHeight="1" x14ac:dyDescent="0.25">
      <c r="A60" s="68"/>
      <c r="F60" s="68"/>
      <c r="G60" s="2"/>
      <c r="H60" s="2"/>
      <c r="I60" s="72" t="s">
        <v>161</v>
      </c>
      <c r="J60" s="59">
        <v>2</v>
      </c>
      <c r="L60" s="68"/>
      <c r="N60" s="2"/>
      <c r="O60" s="2"/>
      <c r="P60" s="2" t="s">
        <v>162</v>
      </c>
      <c r="Q60" s="59">
        <v>1.5</v>
      </c>
      <c r="R60" s="2"/>
    </row>
    <row r="61" spans="1:18" s="1" customFormat="1" ht="20.100000000000001" customHeight="1" thickBot="1" x14ac:dyDescent="0.3">
      <c r="A61" s="68"/>
      <c r="F61" s="68"/>
      <c r="G61" s="2"/>
      <c r="H61" s="2" t="s">
        <v>163</v>
      </c>
      <c r="I61" s="72" t="s">
        <v>164</v>
      </c>
      <c r="J61" s="59">
        <v>0.3</v>
      </c>
      <c r="L61" s="68"/>
      <c r="M61" s="29"/>
      <c r="N61" s="30"/>
      <c r="O61" s="30"/>
      <c r="P61" s="30" t="s">
        <v>165</v>
      </c>
      <c r="Q61" s="66">
        <v>1.2</v>
      </c>
      <c r="R61" s="30"/>
    </row>
    <row r="62" spans="1:18" s="1" customFormat="1" ht="20.100000000000001" customHeight="1" x14ac:dyDescent="0.25">
      <c r="A62" s="68"/>
      <c r="F62" s="68"/>
      <c r="G62" s="2"/>
      <c r="H62" s="2" t="s">
        <v>166</v>
      </c>
      <c r="I62" s="72" t="s">
        <v>167</v>
      </c>
      <c r="J62" s="59">
        <v>0.6</v>
      </c>
      <c r="L62" s="68"/>
      <c r="N62" s="2"/>
      <c r="O62" s="2"/>
      <c r="P62" s="2"/>
      <c r="Q62" s="59"/>
      <c r="R62" s="2"/>
    </row>
    <row r="63" spans="1:18" s="1" customFormat="1" ht="20.100000000000001" customHeight="1" x14ac:dyDescent="0.25">
      <c r="A63" s="68"/>
      <c r="F63" s="68"/>
      <c r="G63" s="2"/>
      <c r="H63" s="2"/>
      <c r="I63" s="72" t="s">
        <v>168</v>
      </c>
      <c r="J63" s="59">
        <v>0.9</v>
      </c>
      <c r="L63" s="68"/>
      <c r="N63" s="2"/>
      <c r="O63" s="2"/>
      <c r="P63" s="2"/>
      <c r="Q63" s="59"/>
      <c r="R63" s="2"/>
    </row>
    <row r="64" spans="1:18" s="1" customFormat="1" ht="20.100000000000001" customHeight="1" x14ac:dyDescent="0.25">
      <c r="A64" s="68"/>
      <c r="F64" s="68"/>
      <c r="G64" s="2"/>
      <c r="H64" s="2"/>
      <c r="I64" s="72" t="s">
        <v>169</v>
      </c>
      <c r="J64" s="59">
        <v>1.2</v>
      </c>
      <c r="L64" s="68"/>
      <c r="N64" s="2"/>
      <c r="O64" s="2"/>
      <c r="P64" s="2"/>
      <c r="Q64" s="59"/>
      <c r="R64" s="2"/>
    </row>
    <row r="65" spans="1:18" s="1" customFormat="1" ht="20.100000000000001" customHeight="1" x14ac:dyDescent="0.25">
      <c r="A65" s="68"/>
      <c r="F65" s="68"/>
      <c r="G65" s="2"/>
      <c r="H65" s="2"/>
      <c r="I65" s="72" t="s">
        <v>170</v>
      </c>
      <c r="J65" s="59">
        <v>1.6</v>
      </c>
      <c r="L65" s="68"/>
      <c r="N65" s="2"/>
      <c r="O65" s="2"/>
      <c r="P65" s="2"/>
      <c r="Q65" s="59"/>
      <c r="R65" s="2"/>
    </row>
    <row r="66" spans="1:18" s="1" customFormat="1" ht="20.100000000000001" customHeight="1" x14ac:dyDescent="0.25">
      <c r="A66" s="68"/>
      <c r="F66" s="68"/>
      <c r="G66" s="2"/>
      <c r="H66" s="2"/>
      <c r="I66" s="72" t="s">
        <v>171</v>
      </c>
      <c r="J66" s="59">
        <v>2</v>
      </c>
      <c r="L66" s="68"/>
      <c r="N66" s="2"/>
      <c r="O66" s="2"/>
      <c r="P66" s="2"/>
      <c r="Q66" s="59"/>
      <c r="R66" s="2"/>
    </row>
    <row r="67" spans="1:18" s="1" customFormat="1" ht="20.100000000000001" customHeight="1" x14ac:dyDescent="0.25">
      <c r="A67" s="68"/>
      <c r="F67" s="68"/>
      <c r="G67" s="2"/>
      <c r="H67" s="2" t="s">
        <v>172</v>
      </c>
      <c r="I67" s="72" t="s">
        <v>173</v>
      </c>
      <c r="J67" s="59">
        <v>0.15</v>
      </c>
      <c r="L67" s="68"/>
      <c r="N67" s="2"/>
      <c r="O67" s="2"/>
      <c r="P67" s="2"/>
      <c r="Q67" s="59"/>
      <c r="R67" s="2"/>
    </row>
    <row r="68" spans="1:18" s="1" customFormat="1" ht="20.100000000000001" customHeight="1" x14ac:dyDescent="0.25">
      <c r="A68" s="68"/>
      <c r="F68" s="68"/>
      <c r="G68" s="2"/>
      <c r="H68" s="2"/>
      <c r="I68" s="72" t="s">
        <v>174</v>
      </c>
      <c r="J68" s="59">
        <v>0.2</v>
      </c>
      <c r="L68" s="68"/>
      <c r="N68" s="2"/>
      <c r="O68" s="2"/>
      <c r="P68" s="2"/>
      <c r="Q68" s="59"/>
      <c r="R68" s="2"/>
    </row>
    <row r="69" spans="1:18" s="1" customFormat="1" ht="20.100000000000001" customHeight="1" x14ac:dyDescent="0.25">
      <c r="A69" s="68"/>
      <c r="F69" s="68"/>
      <c r="G69" s="2"/>
      <c r="H69" s="2"/>
      <c r="I69" s="72" t="s">
        <v>175</v>
      </c>
      <c r="J69" s="59">
        <v>0.25</v>
      </c>
      <c r="L69" s="68"/>
      <c r="N69" s="2"/>
      <c r="O69" s="2"/>
      <c r="P69" s="2"/>
      <c r="Q69" s="59"/>
      <c r="R69" s="2"/>
    </row>
    <row r="70" spans="1:18" s="1" customFormat="1" ht="20.100000000000001" customHeight="1" x14ac:dyDescent="0.25">
      <c r="A70" s="68"/>
      <c r="F70" s="68"/>
      <c r="G70" s="2"/>
      <c r="H70" s="2" t="s">
        <v>176</v>
      </c>
      <c r="I70" s="72" t="s">
        <v>177</v>
      </c>
      <c r="J70" s="59">
        <v>0.1</v>
      </c>
      <c r="L70" s="68"/>
      <c r="N70" s="2"/>
      <c r="O70" s="2"/>
      <c r="P70" s="2"/>
      <c r="Q70" s="59"/>
      <c r="R70" s="2"/>
    </row>
    <row r="71" spans="1:18" s="1" customFormat="1" ht="20.100000000000001" customHeight="1" x14ac:dyDescent="0.25">
      <c r="A71" s="68"/>
      <c r="F71" s="68"/>
      <c r="G71" s="2"/>
      <c r="H71" s="2"/>
      <c r="I71" s="72" t="s">
        <v>178</v>
      </c>
      <c r="J71" s="59">
        <v>0.15</v>
      </c>
      <c r="L71" s="68"/>
      <c r="N71" s="2"/>
      <c r="O71" s="2"/>
      <c r="P71" s="2"/>
      <c r="Q71" s="59"/>
      <c r="R71" s="2"/>
    </row>
    <row r="72" spans="1:18" s="1" customFormat="1" ht="20.100000000000001" customHeight="1" x14ac:dyDescent="0.25">
      <c r="A72" s="68"/>
      <c r="F72" s="68"/>
      <c r="G72" s="2"/>
      <c r="H72" s="2"/>
      <c r="I72" s="72" t="s">
        <v>179</v>
      </c>
      <c r="J72" s="59">
        <v>0.2</v>
      </c>
      <c r="L72" s="68"/>
      <c r="N72" s="2"/>
      <c r="O72" s="2"/>
      <c r="P72" s="2"/>
      <c r="Q72" s="59"/>
      <c r="R72" s="2"/>
    </row>
    <row r="73" spans="1:18" s="1" customFormat="1" ht="20.100000000000001" customHeight="1" x14ac:dyDescent="0.25">
      <c r="A73" s="68"/>
      <c r="F73" s="68"/>
      <c r="G73" s="2"/>
      <c r="H73" s="2"/>
      <c r="I73" s="72" t="s">
        <v>175</v>
      </c>
      <c r="J73" s="59">
        <v>0.25</v>
      </c>
      <c r="L73" s="68"/>
      <c r="N73" s="2"/>
      <c r="O73" s="2"/>
      <c r="P73" s="2"/>
      <c r="Q73" s="59"/>
      <c r="R73" s="2"/>
    </row>
    <row r="74" spans="1:18" s="1" customFormat="1" ht="20.100000000000001" customHeight="1" x14ac:dyDescent="0.25">
      <c r="A74" s="68"/>
      <c r="F74" s="68"/>
      <c r="G74" s="2"/>
      <c r="H74" s="2" t="s">
        <v>180</v>
      </c>
      <c r="I74" s="72" t="s">
        <v>181</v>
      </c>
      <c r="J74" s="59">
        <v>0.5</v>
      </c>
      <c r="L74" s="68"/>
      <c r="N74" s="2"/>
      <c r="O74" s="2"/>
      <c r="P74" s="2"/>
      <c r="Q74" s="59"/>
      <c r="R74" s="2"/>
    </row>
    <row r="75" spans="1:18" s="1" customFormat="1" ht="20.100000000000001" customHeight="1" x14ac:dyDescent="0.25">
      <c r="A75" s="68"/>
      <c r="F75" s="68"/>
      <c r="G75" s="2"/>
      <c r="H75" s="2"/>
      <c r="I75" s="72" t="s">
        <v>182</v>
      </c>
      <c r="J75" s="59">
        <v>0.4</v>
      </c>
      <c r="L75" s="68"/>
      <c r="N75" s="2"/>
      <c r="O75" s="2"/>
      <c r="P75" s="2"/>
      <c r="Q75" s="59"/>
      <c r="R75" s="2"/>
    </row>
    <row r="76" spans="1:18" s="1" customFormat="1" ht="20.100000000000001" customHeight="1" x14ac:dyDescent="0.25">
      <c r="A76" s="68"/>
      <c r="F76" s="68"/>
      <c r="G76" s="2"/>
      <c r="H76" s="2"/>
      <c r="I76" s="72" t="s">
        <v>183</v>
      </c>
      <c r="J76" s="59">
        <v>0.3</v>
      </c>
      <c r="L76" s="68"/>
      <c r="N76" s="2"/>
      <c r="O76" s="2"/>
      <c r="P76" s="2"/>
      <c r="Q76" s="59"/>
      <c r="R76" s="2"/>
    </row>
    <row r="77" spans="1:18" s="1" customFormat="1" ht="20.100000000000001" customHeight="1" x14ac:dyDescent="0.25">
      <c r="A77" s="68"/>
      <c r="F77" s="68"/>
      <c r="G77" s="2"/>
      <c r="H77" s="2"/>
      <c r="I77" s="72" t="s">
        <v>184</v>
      </c>
      <c r="J77" s="59">
        <v>0.2</v>
      </c>
      <c r="L77" s="68"/>
      <c r="N77" s="2"/>
      <c r="O77" s="2"/>
      <c r="P77" s="2"/>
      <c r="Q77" s="59"/>
      <c r="R77" s="2"/>
    </row>
    <row r="78" spans="1:18" s="1" customFormat="1" ht="20.100000000000001" customHeight="1" x14ac:dyDescent="0.25">
      <c r="A78" s="68"/>
      <c r="F78" s="68"/>
      <c r="G78" s="2"/>
      <c r="H78" s="2" t="s">
        <v>185</v>
      </c>
      <c r="I78" s="72" t="s">
        <v>181</v>
      </c>
      <c r="J78" s="59">
        <v>0.5</v>
      </c>
      <c r="L78" s="68"/>
      <c r="N78" s="2"/>
      <c r="O78" s="2"/>
      <c r="P78" s="2"/>
      <c r="Q78" s="59"/>
      <c r="R78" s="2"/>
    </row>
    <row r="79" spans="1:18" s="1" customFormat="1" ht="20.100000000000001" customHeight="1" x14ac:dyDescent="0.25">
      <c r="A79" s="68"/>
      <c r="F79" s="68"/>
      <c r="G79" s="2"/>
      <c r="H79" s="2"/>
      <c r="I79" s="72" t="s">
        <v>182</v>
      </c>
      <c r="J79" s="59">
        <v>0.4</v>
      </c>
      <c r="L79" s="68"/>
      <c r="N79" s="2"/>
      <c r="O79" s="2"/>
      <c r="P79" s="2"/>
      <c r="Q79" s="59"/>
      <c r="R79" s="2"/>
    </row>
    <row r="80" spans="1:18" s="1" customFormat="1" ht="20.100000000000001" customHeight="1" x14ac:dyDescent="0.25">
      <c r="A80" s="68"/>
      <c r="F80" s="68"/>
      <c r="G80" s="2"/>
      <c r="H80" s="2"/>
      <c r="I80" s="72" t="s">
        <v>183</v>
      </c>
      <c r="J80" s="59">
        <v>0.3</v>
      </c>
      <c r="L80" s="68"/>
      <c r="N80" s="2"/>
      <c r="O80" s="2"/>
      <c r="P80" s="2"/>
      <c r="Q80" s="59"/>
      <c r="R80" s="2"/>
    </row>
    <row r="81" spans="1:18" s="1" customFormat="1" ht="20.100000000000001" customHeight="1" x14ac:dyDescent="0.25">
      <c r="A81" s="68"/>
      <c r="F81" s="68"/>
      <c r="G81" s="2"/>
      <c r="H81" s="2"/>
      <c r="I81" s="72" t="s">
        <v>184</v>
      </c>
      <c r="J81" s="59">
        <v>0.2</v>
      </c>
      <c r="L81" s="68"/>
      <c r="N81" s="2"/>
      <c r="O81" s="2"/>
      <c r="P81" s="2"/>
      <c r="Q81" s="59"/>
      <c r="R81" s="2"/>
    </row>
    <row r="82" spans="1:18" s="1" customFormat="1" ht="20.100000000000001" customHeight="1" x14ac:dyDescent="0.25">
      <c r="A82" s="68"/>
      <c r="F82" s="68"/>
      <c r="G82" s="2"/>
      <c r="H82" s="2" t="s">
        <v>186</v>
      </c>
      <c r="I82" s="72" t="s">
        <v>181</v>
      </c>
      <c r="J82" s="59">
        <v>0.5</v>
      </c>
      <c r="L82" s="68"/>
      <c r="N82" s="2"/>
      <c r="O82" s="2"/>
      <c r="P82" s="2"/>
      <c r="Q82" s="59"/>
      <c r="R82" s="2"/>
    </row>
    <row r="83" spans="1:18" s="1" customFormat="1" ht="20.100000000000001" customHeight="1" x14ac:dyDescent="0.25">
      <c r="A83" s="68"/>
      <c r="F83" s="68"/>
      <c r="G83" s="2"/>
      <c r="H83" s="2"/>
      <c r="I83" s="72" t="s">
        <v>182</v>
      </c>
      <c r="J83" s="59">
        <v>0.4</v>
      </c>
      <c r="L83" s="68"/>
      <c r="N83" s="2"/>
      <c r="O83" s="2"/>
      <c r="P83" s="2"/>
      <c r="Q83" s="59"/>
      <c r="R83" s="2"/>
    </row>
    <row r="84" spans="1:18" s="1" customFormat="1" ht="20.100000000000001" customHeight="1" x14ac:dyDescent="0.25">
      <c r="A84" s="68"/>
      <c r="F84" s="68"/>
      <c r="G84" s="2"/>
      <c r="H84" s="2"/>
      <c r="I84" s="72" t="s">
        <v>183</v>
      </c>
      <c r="J84" s="59">
        <v>0.3</v>
      </c>
      <c r="L84" s="68"/>
      <c r="N84" s="2"/>
      <c r="O84" s="2"/>
      <c r="P84" s="2"/>
      <c r="Q84" s="59"/>
      <c r="R84" s="2"/>
    </row>
    <row r="85" spans="1:18" s="1" customFormat="1" ht="20.100000000000001" customHeight="1" thickBot="1" x14ac:dyDescent="0.3">
      <c r="A85" s="68"/>
      <c r="F85" s="68"/>
      <c r="G85" s="30"/>
      <c r="H85" s="30"/>
      <c r="I85" s="76" t="s">
        <v>184</v>
      </c>
      <c r="J85" s="66">
        <v>0.2</v>
      </c>
      <c r="K85" s="29"/>
      <c r="L85" s="68"/>
      <c r="N85" s="2"/>
      <c r="O85" s="2"/>
      <c r="P85" s="2"/>
      <c r="Q85" s="59"/>
      <c r="R85" s="2"/>
    </row>
    <row r="86" spans="1:18" s="1" customFormat="1" ht="20.100000000000001" customHeight="1" x14ac:dyDescent="0.25">
      <c r="A86" s="68"/>
      <c r="F86" s="68"/>
      <c r="G86" s="2"/>
      <c r="H86" s="2"/>
      <c r="I86" s="72"/>
      <c r="J86" s="59"/>
      <c r="L86" s="68"/>
      <c r="N86" s="2"/>
      <c r="O86" s="2"/>
      <c r="P86" s="2"/>
      <c r="Q86" s="59"/>
      <c r="R86" s="2"/>
    </row>
    <row r="87" spans="1:18" s="1" customFormat="1" ht="20.100000000000001" customHeight="1" x14ac:dyDescent="0.25">
      <c r="A87" s="68"/>
      <c r="F87" s="68"/>
      <c r="G87" s="2"/>
      <c r="H87" s="2"/>
      <c r="I87" s="72"/>
      <c r="J87" s="59"/>
      <c r="L87" s="68"/>
      <c r="N87" s="2"/>
      <c r="O87" s="2"/>
      <c r="P87" s="2"/>
      <c r="Q87" s="59"/>
      <c r="R87" s="2"/>
    </row>
    <row r="88" spans="1:18" s="1" customFormat="1" ht="20.100000000000001" customHeight="1" x14ac:dyDescent="0.25">
      <c r="A88" s="68"/>
      <c r="F88" s="68"/>
      <c r="G88" s="2"/>
      <c r="H88" s="2"/>
      <c r="I88" s="72"/>
      <c r="J88" s="59"/>
      <c r="L88" s="68"/>
      <c r="N88" s="2"/>
      <c r="O88" s="2"/>
      <c r="P88" s="2"/>
      <c r="Q88" s="59"/>
      <c r="R88" s="2"/>
    </row>
    <row r="89" spans="1:18" s="1" customFormat="1" ht="20.100000000000001" customHeight="1" x14ac:dyDescent="0.25">
      <c r="A89" s="68"/>
      <c r="F89" s="68"/>
      <c r="G89" s="2"/>
      <c r="H89" s="2"/>
      <c r="I89" s="72"/>
      <c r="J89" s="59"/>
      <c r="L89" s="68"/>
      <c r="N89" s="2"/>
      <c r="O89" s="2"/>
      <c r="P89" s="2"/>
      <c r="Q89" s="59"/>
      <c r="R89" s="2"/>
    </row>
    <row r="90" spans="1:18" s="1" customFormat="1" ht="20.100000000000001" customHeight="1" x14ac:dyDescent="0.25">
      <c r="A90" s="68"/>
      <c r="F90" s="68"/>
      <c r="G90" s="2"/>
      <c r="H90" s="2"/>
      <c r="I90" s="72"/>
      <c r="J90" s="59"/>
      <c r="L90" s="68"/>
      <c r="N90" s="2"/>
      <c r="O90" s="2"/>
      <c r="P90" s="2"/>
      <c r="Q90" s="59"/>
      <c r="R90" s="2"/>
    </row>
    <row r="91" spans="1:18" s="1" customFormat="1" ht="20.100000000000001" customHeight="1" x14ac:dyDescent="0.25">
      <c r="A91" s="68"/>
      <c r="F91" s="68"/>
      <c r="G91" s="2"/>
      <c r="H91" s="2"/>
      <c r="I91" s="72"/>
      <c r="J91" s="59"/>
      <c r="L91" s="68"/>
      <c r="N91" s="2"/>
      <c r="O91" s="2"/>
      <c r="P91" s="2"/>
      <c r="Q91" s="59"/>
      <c r="R91" s="2"/>
    </row>
    <row r="92" spans="1:18" s="1" customFormat="1" ht="20.100000000000001" customHeight="1" x14ac:dyDescent="0.25">
      <c r="A92" s="68"/>
      <c r="F92" s="68"/>
      <c r="G92" s="2"/>
      <c r="H92" s="2"/>
      <c r="I92" s="72"/>
      <c r="J92" s="59"/>
      <c r="L92" s="68"/>
      <c r="N92" s="2"/>
      <c r="O92" s="2"/>
      <c r="P92" s="2"/>
      <c r="Q92" s="59"/>
      <c r="R92" s="2"/>
    </row>
    <row r="93" spans="1:18" s="1" customFormat="1" ht="20.100000000000001" customHeight="1" x14ac:dyDescent="0.25">
      <c r="A93" s="68"/>
      <c r="F93" s="68"/>
      <c r="G93" s="2"/>
      <c r="H93" s="2"/>
      <c r="I93" s="72"/>
      <c r="J93" s="59"/>
      <c r="L93" s="68"/>
      <c r="N93" s="2"/>
      <c r="O93" s="2"/>
      <c r="P93" s="2"/>
      <c r="Q93" s="59"/>
      <c r="R93" s="2"/>
    </row>
    <row r="94" spans="1:18" s="1" customFormat="1" ht="20.100000000000001" customHeight="1" x14ac:dyDescent="0.25">
      <c r="A94" s="68"/>
      <c r="F94" s="68"/>
      <c r="G94" s="2"/>
      <c r="H94" s="2"/>
      <c r="I94" s="72"/>
      <c r="J94" s="59"/>
      <c r="L94" s="68"/>
      <c r="N94" s="2"/>
      <c r="O94" s="2"/>
      <c r="P94" s="2"/>
      <c r="Q94" s="59"/>
      <c r="R94" s="2"/>
    </row>
    <row r="95" spans="1:18" s="1" customFormat="1" ht="20.100000000000001" customHeight="1" x14ac:dyDescent="0.25">
      <c r="A95" s="68"/>
      <c r="F95" s="68"/>
      <c r="G95" s="2"/>
      <c r="H95" s="2"/>
      <c r="I95" s="72"/>
      <c r="J95" s="59"/>
      <c r="L95" s="68"/>
      <c r="N95" s="2"/>
      <c r="O95" s="2"/>
      <c r="P95" s="2"/>
      <c r="Q95" s="59"/>
      <c r="R95" s="2"/>
    </row>
    <row r="96" spans="1:18" s="1" customFormat="1" ht="20.100000000000001" customHeight="1" x14ac:dyDescent="0.25">
      <c r="A96" s="68"/>
      <c r="F96" s="68"/>
      <c r="G96" s="2"/>
      <c r="H96" s="2"/>
      <c r="I96" s="72"/>
      <c r="J96" s="59"/>
      <c r="L96" s="68"/>
      <c r="N96" s="2"/>
      <c r="O96" s="2"/>
      <c r="P96" s="2"/>
      <c r="Q96" s="59"/>
      <c r="R96" s="2"/>
    </row>
    <row r="97" spans="1:18" s="1" customFormat="1" ht="20.100000000000001" customHeight="1" x14ac:dyDescent="0.25">
      <c r="A97" s="68"/>
      <c r="F97" s="68"/>
      <c r="G97" s="2"/>
      <c r="H97" s="2"/>
      <c r="I97" s="72"/>
      <c r="J97" s="59"/>
      <c r="L97" s="68"/>
      <c r="N97" s="2"/>
      <c r="O97" s="2"/>
      <c r="P97" s="2"/>
      <c r="Q97" s="59"/>
      <c r="R97" s="2"/>
    </row>
    <row r="98" spans="1:18" s="1" customFormat="1" ht="20.100000000000001" customHeight="1" x14ac:dyDescent="0.25">
      <c r="A98" s="68"/>
      <c r="F98" s="68"/>
      <c r="G98" s="2"/>
      <c r="H98" s="2"/>
      <c r="I98" s="72"/>
      <c r="J98" s="59"/>
      <c r="L98" s="68"/>
      <c r="N98" s="2"/>
      <c r="O98" s="2"/>
      <c r="P98" s="2"/>
      <c r="Q98" s="59"/>
      <c r="R98" s="2"/>
    </row>
    <row r="99" spans="1:18" s="1" customFormat="1" ht="20.100000000000001" customHeight="1" x14ac:dyDescent="0.25">
      <c r="A99" s="68"/>
      <c r="F99" s="68"/>
      <c r="G99" s="2"/>
      <c r="H99" s="2"/>
      <c r="I99" s="72"/>
      <c r="J99" s="59"/>
      <c r="L99" s="68"/>
      <c r="N99" s="2"/>
      <c r="O99" s="2"/>
      <c r="P99" s="2"/>
      <c r="Q99" s="59"/>
      <c r="R99" s="2"/>
    </row>
    <row r="100" spans="1:18" s="1" customFormat="1" ht="20.100000000000001" customHeight="1" x14ac:dyDescent="0.25">
      <c r="A100" s="68"/>
      <c r="F100" s="68"/>
      <c r="G100" s="2"/>
      <c r="H100" s="2"/>
      <c r="I100" s="72"/>
      <c r="J100" s="59"/>
      <c r="L100" s="68"/>
      <c r="N100" s="2"/>
      <c r="O100" s="2"/>
      <c r="P100" s="2"/>
      <c r="Q100" s="59"/>
      <c r="R100" s="2"/>
    </row>
    <row r="101" spans="1:18" s="1" customFormat="1" ht="20.100000000000001" customHeight="1" x14ac:dyDescent="0.25">
      <c r="A101" s="68"/>
      <c r="F101" s="68"/>
      <c r="G101" s="2"/>
      <c r="H101" s="2"/>
      <c r="I101" s="72"/>
      <c r="J101" s="59"/>
      <c r="L101" s="68"/>
      <c r="N101" s="2"/>
      <c r="O101" s="2"/>
      <c r="P101" s="2"/>
      <c r="Q101" s="59"/>
      <c r="R101" s="2"/>
    </row>
    <row r="102" spans="1:18" s="1" customFormat="1" ht="20.100000000000001" customHeight="1" x14ac:dyDescent="0.25">
      <c r="A102" s="68"/>
      <c r="F102" s="68"/>
      <c r="G102" s="2"/>
      <c r="H102" s="2"/>
      <c r="I102" s="72"/>
      <c r="J102" s="59"/>
      <c r="L102" s="68"/>
      <c r="N102" s="2"/>
      <c r="O102" s="2"/>
      <c r="P102" s="2"/>
      <c r="Q102" s="59"/>
      <c r="R102" s="2"/>
    </row>
    <row r="103" spans="1:18" s="1" customFormat="1" ht="20.100000000000001" customHeight="1" x14ac:dyDescent="0.25">
      <c r="A103" s="68"/>
      <c r="F103" s="68"/>
      <c r="G103" s="2"/>
      <c r="H103" s="2"/>
      <c r="I103" s="72"/>
      <c r="J103" s="59"/>
      <c r="L103" s="68"/>
      <c r="N103" s="2"/>
      <c r="O103" s="2"/>
      <c r="P103" s="2"/>
      <c r="Q103" s="59"/>
      <c r="R103" s="2"/>
    </row>
    <row r="104" spans="1:18" s="1" customFormat="1" ht="20.100000000000001" customHeight="1" x14ac:dyDescent="0.25">
      <c r="A104" s="68"/>
      <c r="F104" s="68"/>
      <c r="G104" s="2"/>
      <c r="H104" s="2"/>
      <c r="I104" s="72"/>
      <c r="J104" s="59"/>
      <c r="L104" s="68"/>
      <c r="N104" s="2"/>
      <c r="O104" s="2"/>
      <c r="P104" s="2"/>
      <c r="Q104" s="59"/>
      <c r="R104" s="2"/>
    </row>
    <row r="105" spans="1:18" s="1" customFormat="1" ht="20.100000000000001" customHeight="1" x14ac:dyDescent="0.25">
      <c r="A105" s="68"/>
      <c r="F105" s="68"/>
      <c r="G105" s="2"/>
      <c r="H105" s="2"/>
      <c r="I105" s="72"/>
      <c r="J105" s="59"/>
      <c r="L105" s="68"/>
      <c r="N105" s="2"/>
      <c r="O105" s="2"/>
      <c r="P105" s="2"/>
      <c r="Q105" s="59"/>
      <c r="R105" s="2"/>
    </row>
    <row r="106" spans="1:18" s="1" customFormat="1" ht="20.100000000000001" customHeight="1" x14ac:dyDescent="0.25">
      <c r="A106" s="68"/>
      <c r="F106" s="68"/>
      <c r="G106" s="2"/>
      <c r="H106" s="2"/>
      <c r="I106" s="72"/>
      <c r="J106" s="59"/>
      <c r="L106" s="68"/>
      <c r="N106" s="2"/>
      <c r="O106" s="2"/>
      <c r="P106" s="2"/>
      <c r="Q106" s="59"/>
      <c r="R106" s="2"/>
    </row>
    <row r="107" spans="1:18" s="1" customFormat="1" ht="20.100000000000001" customHeight="1" x14ac:dyDescent="0.25">
      <c r="A107" s="68"/>
      <c r="F107" s="68"/>
      <c r="G107" s="2"/>
      <c r="H107" s="2"/>
      <c r="I107" s="72"/>
      <c r="J107" s="59"/>
      <c r="L107" s="68"/>
      <c r="N107" s="2"/>
      <c r="O107" s="2"/>
      <c r="P107" s="2"/>
      <c r="Q107" s="59"/>
      <c r="R107" s="2"/>
    </row>
    <row r="108" spans="1:18" s="1" customFormat="1" ht="20.100000000000001" customHeight="1" x14ac:dyDescent="0.25">
      <c r="A108" s="68"/>
      <c r="F108" s="68"/>
      <c r="G108" s="2"/>
      <c r="H108" s="2"/>
      <c r="I108" s="72"/>
      <c r="J108" s="59"/>
      <c r="L108" s="68"/>
      <c r="N108" s="2"/>
      <c r="O108" s="2"/>
      <c r="P108" s="2"/>
      <c r="Q108" s="59"/>
      <c r="R108" s="2"/>
    </row>
    <row r="109" spans="1:18" s="1" customFormat="1" ht="20.100000000000001" customHeight="1" x14ac:dyDescent="0.25">
      <c r="A109" s="68"/>
      <c r="F109" s="68"/>
      <c r="G109" s="2"/>
      <c r="H109" s="2"/>
      <c r="I109" s="72"/>
      <c r="J109" s="59"/>
      <c r="L109" s="68"/>
      <c r="N109" s="2"/>
      <c r="O109" s="2"/>
      <c r="P109" s="2"/>
      <c r="Q109" s="59"/>
      <c r="R109" s="2"/>
    </row>
    <row r="110" spans="1:18" s="1" customFormat="1" ht="20.100000000000001" customHeight="1" x14ac:dyDescent="0.25">
      <c r="A110" s="68"/>
      <c r="F110" s="68"/>
      <c r="G110" s="2"/>
      <c r="H110" s="2"/>
      <c r="I110" s="72"/>
      <c r="J110" s="59"/>
      <c r="L110" s="68"/>
      <c r="N110" s="2"/>
      <c r="O110" s="2"/>
      <c r="P110" s="2"/>
      <c r="Q110" s="59"/>
      <c r="R110" s="2"/>
    </row>
    <row r="111" spans="1:18" s="1" customFormat="1" ht="20.100000000000001" customHeight="1" x14ac:dyDescent="0.25">
      <c r="A111" s="68"/>
      <c r="F111" s="68"/>
      <c r="G111" s="2"/>
      <c r="H111" s="2"/>
      <c r="I111" s="72"/>
      <c r="J111" s="59"/>
      <c r="L111" s="68"/>
      <c r="N111" s="2"/>
      <c r="O111" s="2"/>
      <c r="P111" s="2"/>
      <c r="Q111" s="59"/>
      <c r="R111" s="2"/>
    </row>
    <row r="112" spans="1:18" s="1" customFormat="1" ht="20.100000000000001" customHeight="1" x14ac:dyDescent="0.25">
      <c r="A112" s="68"/>
      <c r="F112" s="68"/>
      <c r="G112" s="2"/>
      <c r="H112" s="2"/>
      <c r="I112" s="72"/>
      <c r="J112" s="59"/>
      <c r="L112" s="68"/>
      <c r="N112" s="2"/>
      <c r="O112" s="2"/>
      <c r="P112" s="2"/>
      <c r="Q112" s="59"/>
      <c r="R112" s="2"/>
    </row>
    <row r="113" spans="1:18" s="1" customFormat="1" ht="20.100000000000001" customHeight="1" x14ac:dyDescent="0.25">
      <c r="A113" s="68"/>
      <c r="F113" s="68"/>
      <c r="G113" s="2"/>
      <c r="H113" s="2"/>
      <c r="I113" s="72"/>
      <c r="J113" s="59"/>
      <c r="L113" s="68"/>
      <c r="N113" s="2"/>
      <c r="O113" s="2"/>
      <c r="P113" s="2"/>
      <c r="Q113" s="59"/>
      <c r="R113" s="2"/>
    </row>
    <row r="114" spans="1:18" s="1" customFormat="1" ht="20.100000000000001" customHeight="1" x14ac:dyDescent="0.25">
      <c r="A114" s="68"/>
      <c r="F114" s="68"/>
      <c r="G114" s="2"/>
      <c r="H114" s="2"/>
      <c r="I114" s="72"/>
      <c r="J114" s="59"/>
      <c r="L114" s="68"/>
      <c r="N114" s="2"/>
      <c r="O114" s="2"/>
      <c r="P114" s="2"/>
      <c r="Q114" s="59"/>
      <c r="R114" s="2"/>
    </row>
    <row r="115" spans="1:18" s="1" customFormat="1" ht="20.100000000000001" customHeight="1" x14ac:dyDescent="0.25">
      <c r="A115" s="68"/>
      <c r="F115" s="68"/>
      <c r="G115" s="2"/>
      <c r="H115" s="2"/>
      <c r="I115" s="72"/>
      <c r="J115" s="59"/>
      <c r="L115" s="68"/>
      <c r="N115" s="2"/>
      <c r="O115" s="2"/>
      <c r="P115" s="2"/>
      <c r="Q115" s="59"/>
      <c r="R115" s="2"/>
    </row>
    <row r="116" spans="1:18" s="1" customFormat="1" ht="20.100000000000001" customHeight="1" x14ac:dyDescent="0.25">
      <c r="A116" s="68"/>
      <c r="F116" s="68"/>
      <c r="G116" s="2"/>
      <c r="H116" s="2"/>
      <c r="I116" s="72"/>
      <c r="J116" s="59"/>
      <c r="L116" s="68"/>
      <c r="N116" s="2"/>
      <c r="O116" s="2"/>
      <c r="P116" s="2"/>
      <c r="Q116" s="59"/>
      <c r="R116" s="2"/>
    </row>
    <row r="117" spans="1:18" s="1" customFormat="1" ht="20.100000000000001" customHeight="1" x14ac:dyDescent="0.25">
      <c r="A117" s="68"/>
      <c r="F117" s="68"/>
      <c r="G117" s="2"/>
      <c r="H117" s="2"/>
      <c r="I117" s="72"/>
      <c r="J117" s="59"/>
      <c r="L117" s="68"/>
      <c r="N117" s="2"/>
      <c r="O117" s="2"/>
      <c r="P117" s="2"/>
      <c r="Q117" s="59"/>
      <c r="R117" s="2"/>
    </row>
    <row r="118" spans="1:18" s="1" customFormat="1" ht="20.100000000000001" customHeight="1" x14ac:dyDescent="0.25">
      <c r="A118" s="68"/>
      <c r="F118" s="68"/>
      <c r="G118" s="2"/>
      <c r="H118" s="2"/>
      <c r="I118" s="72"/>
      <c r="J118" s="59"/>
      <c r="L118" s="68"/>
      <c r="N118" s="2"/>
      <c r="O118" s="2"/>
      <c r="P118" s="2"/>
      <c r="Q118" s="59"/>
      <c r="R118" s="2"/>
    </row>
    <row r="119" spans="1:18" s="1" customFormat="1" ht="20.100000000000001" customHeight="1" x14ac:dyDescent="0.25">
      <c r="A119" s="68"/>
      <c r="F119" s="68"/>
      <c r="G119" s="2"/>
      <c r="H119" s="2"/>
      <c r="I119" s="72"/>
      <c r="J119" s="59"/>
      <c r="L119" s="68"/>
      <c r="N119" s="2"/>
      <c r="O119" s="2"/>
      <c r="P119" s="2"/>
      <c r="Q119" s="59"/>
      <c r="R119" s="2"/>
    </row>
    <row r="120" spans="1:18" s="1" customFormat="1" ht="20.100000000000001" customHeight="1" x14ac:dyDescent="0.25">
      <c r="A120" s="68"/>
      <c r="F120" s="68"/>
      <c r="G120" s="2"/>
      <c r="H120" s="2"/>
      <c r="I120" s="72"/>
      <c r="J120" s="59"/>
      <c r="L120" s="68"/>
      <c r="N120" s="2"/>
      <c r="O120" s="2"/>
      <c r="P120" s="2"/>
      <c r="Q120" s="59"/>
      <c r="R120" s="2"/>
    </row>
    <row r="121" spans="1:18" s="1" customFormat="1" ht="20.100000000000001" customHeight="1" x14ac:dyDescent="0.25">
      <c r="A121" s="68"/>
      <c r="F121" s="68"/>
      <c r="G121" s="2"/>
      <c r="H121" s="2"/>
      <c r="I121" s="72"/>
      <c r="J121" s="59"/>
      <c r="L121" s="68"/>
      <c r="N121" s="2"/>
      <c r="O121" s="2"/>
      <c r="P121" s="2"/>
      <c r="Q121" s="59"/>
      <c r="R121" s="2"/>
    </row>
    <row r="122" spans="1:18" s="1" customFormat="1" ht="20.100000000000001" customHeight="1" x14ac:dyDescent="0.25">
      <c r="A122" s="68"/>
      <c r="F122" s="68"/>
      <c r="G122" s="2"/>
      <c r="H122" s="2"/>
      <c r="I122" s="72"/>
      <c r="J122" s="59"/>
      <c r="L122" s="68"/>
      <c r="N122" s="2"/>
      <c r="O122" s="2"/>
      <c r="P122" s="2"/>
      <c r="Q122" s="59"/>
      <c r="R122" s="2"/>
    </row>
    <row r="123" spans="1:18" s="1" customFormat="1" ht="20.100000000000001" customHeight="1" x14ac:dyDescent="0.25">
      <c r="A123" s="68"/>
      <c r="F123" s="68"/>
      <c r="G123" s="2"/>
      <c r="H123" s="2"/>
      <c r="I123" s="72"/>
      <c r="J123" s="59"/>
      <c r="L123" s="68"/>
      <c r="N123" s="2"/>
      <c r="O123" s="2"/>
      <c r="P123" s="2"/>
      <c r="Q123" s="59"/>
      <c r="R123" s="2"/>
    </row>
    <row r="124" spans="1:18" s="1" customFormat="1" ht="20.100000000000001" customHeight="1" x14ac:dyDescent="0.25">
      <c r="A124" s="68"/>
      <c r="F124" s="68"/>
      <c r="G124" s="2"/>
      <c r="H124" s="2"/>
      <c r="I124" s="72"/>
      <c r="J124" s="59"/>
      <c r="L124" s="68"/>
      <c r="N124" s="2"/>
      <c r="O124" s="2"/>
      <c r="P124" s="2"/>
      <c r="Q124" s="59"/>
      <c r="R124" s="2"/>
    </row>
    <row r="125" spans="1:18" s="1" customFormat="1" ht="20.100000000000001" customHeight="1" x14ac:dyDescent="0.25">
      <c r="A125" s="68"/>
      <c r="F125" s="68"/>
      <c r="G125" s="2"/>
      <c r="H125" s="2"/>
      <c r="I125" s="72"/>
      <c r="J125" s="59"/>
      <c r="L125" s="68"/>
      <c r="N125" s="2"/>
      <c r="O125" s="2"/>
      <c r="P125" s="2"/>
      <c r="Q125" s="59"/>
      <c r="R125" s="2"/>
    </row>
    <row r="126" spans="1:18" s="1" customFormat="1" ht="20.100000000000001" customHeight="1" x14ac:dyDescent="0.25">
      <c r="A126" s="68"/>
      <c r="F126" s="68"/>
      <c r="G126" s="2"/>
      <c r="H126" s="2"/>
      <c r="I126" s="72"/>
      <c r="J126" s="59"/>
      <c r="L126" s="68"/>
      <c r="N126" s="2"/>
      <c r="O126" s="2"/>
      <c r="P126" s="2"/>
      <c r="Q126" s="59"/>
      <c r="R126" s="2"/>
    </row>
    <row r="127" spans="1:18" s="1" customFormat="1" ht="20.100000000000001" customHeight="1" x14ac:dyDescent="0.25">
      <c r="A127" s="68"/>
      <c r="F127" s="68"/>
      <c r="G127" s="2"/>
      <c r="H127" s="2"/>
      <c r="I127" s="72"/>
      <c r="J127" s="59"/>
      <c r="L127" s="68"/>
      <c r="N127" s="2"/>
      <c r="O127" s="2"/>
      <c r="P127" s="2"/>
      <c r="Q127" s="59"/>
      <c r="R127" s="2"/>
    </row>
    <row r="128" spans="1:18" s="1" customFormat="1" ht="20.100000000000001" customHeight="1" x14ac:dyDescent="0.25">
      <c r="A128" s="68"/>
      <c r="F128" s="68"/>
      <c r="G128" s="2"/>
      <c r="H128" s="2"/>
      <c r="I128" s="72"/>
      <c r="J128" s="59"/>
      <c r="L128" s="68"/>
      <c r="N128" s="2"/>
      <c r="O128" s="2"/>
      <c r="P128" s="2"/>
      <c r="Q128" s="59"/>
      <c r="R128" s="2"/>
    </row>
    <row r="129" spans="1:18" s="1" customFormat="1" ht="20.100000000000001" customHeight="1" x14ac:dyDescent="0.25">
      <c r="A129" s="68"/>
      <c r="F129" s="68"/>
      <c r="G129" s="2"/>
      <c r="H129" s="2"/>
      <c r="I129" s="72"/>
      <c r="J129" s="59"/>
      <c r="L129" s="68"/>
      <c r="N129" s="2"/>
      <c r="O129" s="2"/>
      <c r="P129" s="2"/>
      <c r="Q129" s="59"/>
      <c r="R129" s="2"/>
    </row>
    <row r="130" spans="1:18" s="1" customFormat="1" ht="20.100000000000001" customHeight="1" x14ac:dyDescent="0.25">
      <c r="A130" s="68"/>
      <c r="F130" s="68"/>
      <c r="G130" s="2"/>
      <c r="H130" s="2"/>
      <c r="I130" s="72"/>
      <c r="J130" s="59"/>
      <c r="L130" s="68"/>
      <c r="N130" s="2"/>
      <c r="O130" s="2"/>
      <c r="P130" s="2"/>
      <c r="Q130" s="59"/>
      <c r="R130" s="2"/>
    </row>
    <row r="131" spans="1:18" s="1" customFormat="1" ht="20.100000000000001" customHeight="1" x14ac:dyDescent="0.25">
      <c r="A131" s="68"/>
      <c r="F131" s="68"/>
      <c r="G131" s="2"/>
      <c r="H131" s="2"/>
      <c r="I131" s="72"/>
      <c r="J131" s="59"/>
      <c r="L131" s="68"/>
      <c r="N131" s="2"/>
      <c r="O131" s="2"/>
      <c r="P131" s="2"/>
      <c r="Q131" s="59"/>
      <c r="R131" s="2"/>
    </row>
    <row r="132" spans="1:18" s="1" customFormat="1" ht="20.100000000000001" customHeight="1" x14ac:dyDescent="0.25">
      <c r="A132" s="68"/>
      <c r="F132" s="68"/>
      <c r="G132" s="2"/>
      <c r="H132" s="2"/>
      <c r="I132" s="72"/>
      <c r="J132" s="59"/>
      <c r="L132" s="68"/>
      <c r="N132" s="2"/>
      <c r="O132" s="2"/>
      <c r="P132" s="2"/>
      <c r="Q132" s="59"/>
      <c r="R132" s="2"/>
    </row>
    <row r="133" spans="1:18" s="1" customFormat="1" ht="20.100000000000001" customHeight="1" x14ac:dyDescent="0.25">
      <c r="A133" s="68"/>
      <c r="F133" s="68"/>
      <c r="G133" s="2"/>
      <c r="H133" s="2"/>
      <c r="I133" s="72"/>
      <c r="J133" s="59"/>
      <c r="L133" s="68"/>
      <c r="N133" s="2"/>
      <c r="O133" s="2"/>
      <c r="P133" s="2"/>
      <c r="Q133" s="59"/>
      <c r="R133" s="2"/>
    </row>
    <row r="134" spans="1:18" s="1" customFormat="1" ht="20.100000000000001" customHeight="1" x14ac:dyDescent="0.25">
      <c r="A134" s="68"/>
      <c r="F134" s="68"/>
      <c r="G134" s="2"/>
      <c r="H134" s="2"/>
      <c r="I134" s="72"/>
      <c r="J134" s="59"/>
      <c r="L134" s="68"/>
      <c r="N134" s="2"/>
      <c r="O134" s="2"/>
      <c r="P134" s="2"/>
      <c r="Q134" s="59"/>
      <c r="R134" s="2"/>
    </row>
    <row r="135" spans="1:18" s="1" customFormat="1" ht="20.100000000000001" customHeight="1" x14ac:dyDescent="0.25">
      <c r="A135" s="68"/>
      <c r="F135" s="68"/>
      <c r="G135" s="2"/>
      <c r="H135" s="2"/>
      <c r="I135" s="72"/>
      <c r="J135" s="59"/>
      <c r="L135" s="68"/>
      <c r="N135" s="2"/>
      <c r="O135" s="2"/>
      <c r="P135" s="2"/>
      <c r="Q135" s="59"/>
      <c r="R135" s="2"/>
    </row>
    <row r="136" spans="1:18" s="1" customFormat="1" ht="20.100000000000001" customHeight="1" x14ac:dyDescent="0.25">
      <c r="A136" s="68"/>
      <c r="F136" s="68"/>
      <c r="G136" s="2"/>
      <c r="H136" s="2"/>
      <c r="I136" s="72"/>
      <c r="J136" s="59"/>
      <c r="L136" s="68"/>
      <c r="N136" s="2"/>
      <c r="O136" s="2"/>
      <c r="P136" s="2"/>
      <c r="Q136" s="59"/>
      <c r="R136" s="2"/>
    </row>
    <row r="137" spans="1:18" s="1" customFormat="1" ht="20.100000000000001" customHeight="1" x14ac:dyDescent="0.25">
      <c r="A137" s="68"/>
      <c r="F137" s="68"/>
      <c r="G137" s="2"/>
      <c r="H137" s="2"/>
      <c r="I137" s="72"/>
      <c r="J137" s="59"/>
      <c r="L137" s="68"/>
      <c r="N137" s="2"/>
      <c r="O137" s="2"/>
      <c r="P137" s="2"/>
      <c r="Q137" s="59"/>
      <c r="R137" s="2"/>
    </row>
    <row r="138" spans="1:18" s="1" customFormat="1" ht="20.100000000000001" customHeight="1" x14ac:dyDescent="0.25">
      <c r="A138" s="68"/>
      <c r="F138" s="68"/>
      <c r="G138" s="2"/>
      <c r="H138" s="2"/>
      <c r="I138" s="72"/>
      <c r="J138" s="59"/>
      <c r="L138" s="68"/>
      <c r="N138" s="2"/>
      <c r="O138" s="2"/>
      <c r="P138" s="2"/>
      <c r="Q138" s="59"/>
      <c r="R138" s="2"/>
    </row>
    <row r="139" spans="1:18" s="1" customFormat="1" ht="20.100000000000001" customHeight="1" x14ac:dyDescent="0.25">
      <c r="A139" s="68"/>
      <c r="F139" s="68"/>
      <c r="G139" s="2"/>
      <c r="H139" s="2"/>
      <c r="I139" s="72"/>
      <c r="J139" s="59"/>
      <c r="L139" s="68"/>
      <c r="N139" s="2"/>
      <c r="O139" s="2"/>
      <c r="P139" s="2"/>
      <c r="Q139" s="59"/>
      <c r="R139" s="2"/>
    </row>
    <row r="140" spans="1:18" s="1" customFormat="1" ht="20.100000000000001" customHeight="1" x14ac:dyDescent="0.25">
      <c r="A140" s="68"/>
      <c r="F140" s="68"/>
      <c r="G140" s="2"/>
      <c r="H140" s="2"/>
      <c r="I140" s="72"/>
      <c r="J140" s="59"/>
      <c r="L140" s="68"/>
      <c r="N140" s="2"/>
      <c r="O140" s="2"/>
      <c r="P140" s="2"/>
      <c r="Q140" s="59"/>
      <c r="R140" s="2"/>
    </row>
    <row r="141" spans="1:18" s="1" customFormat="1" ht="20.100000000000001" customHeight="1" x14ac:dyDescent="0.25">
      <c r="A141" s="68"/>
      <c r="F141" s="68"/>
      <c r="G141" s="2"/>
      <c r="H141" s="2"/>
      <c r="I141" s="72"/>
      <c r="J141" s="59"/>
      <c r="L141" s="68"/>
      <c r="N141" s="2"/>
      <c r="O141" s="2"/>
      <c r="P141" s="2"/>
      <c r="Q141" s="59"/>
      <c r="R141" s="2"/>
    </row>
    <row r="142" spans="1:18" s="1" customFormat="1" ht="20.100000000000001" customHeight="1" x14ac:dyDescent="0.25">
      <c r="A142" s="68"/>
      <c r="F142" s="68"/>
      <c r="G142" s="2"/>
      <c r="H142" s="2"/>
      <c r="I142" s="72"/>
      <c r="J142" s="59"/>
      <c r="L142" s="68"/>
      <c r="N142" s="2"/>
      <c r="O142" s="2"/>
      <c r="P142" s="2"/>
      <c r="Q142" s="59"/>
      <c r="R142" s="2"/>
    </row>
    <row r="143" spans="1:18" s="1" customFormat="1" ht="20.100000000000001" customHeight="1" x14ac:dyDescent="0.25">
      <c r="A143" s="68"/>
      <c r="F143" s="68"/>
      <c r="G143" s="2"/>
      <c r="H143" s="2"/>
      <c r="I143" s="72"/>
      <c r="J143" s="59"/>
      <c r="L143" s="68"/>
      <c r="N143" s="2"/>
      <c r="O143" s="2"/>
      <c r="P143" s="2"/>
      <c r="Q143" s="59"/>
      <c r="R143" s="2"/>
    </row>
    <row r="144" spans="1:18" s="1" customFormat="1" ht="20.100000000000001" customHeight="1" x14ac:dyDescent="0.25">
      <c r="A144" s="68"/>
      <c r="F144" s="68"/>
      <c r="G144" s="2"/>
      <c r="H144" s="2"/>
      <c r="I144" s="72"/>
      <c r="J144" s="59"/>
      <c r="L144" s="68"/>
      <c r="N144" s="2"/>
      <c r="O144" s="2"/>
      <c r="P144" s="2"/>
      <c r="Q144" s="59"/>
      <c r="R144" s="2"/>
    </row>
    <row r="145" spans="1:18" s="1" customFormat="1" ht="20.100000000000001" customHeight="1" x14ac:dyDescent="0.25">
      <c r="A145" s="68"/>
      <c r="F145" s="68"/>
      <c r="G145" s="2"/>
      <c r="H145" s="2"/>
      <c r="I145" s="72"/>
      <c r="J145" s="59"/>
      <c r="L145" s="68"/>
      <c r="N145" s="2"/>
      <c r="O145" s="2"/>
      <c r="P145" s="2"/>
      <c r="Q145" s="59"/>
      <c r="R145" s="2"/>
    </row>
    <row r="146" spans="1:18" s="1" customFormat="1" ht="20.100000000000001" customHeight="1" x14ac:dyDescent="0.25">
      <c r="A146" s="68"/>
      <c r="F146" s="68"/>
      <c r="G146" s="2"/>
      <c r="H146" s="2"/>
      <c r="I146" s="72"/>
      <c r="J146" s="59"/>
      <c r="L146" s="68"/>
      <c r="N146" s="2"/>
      <c r="O146" s="2"/>
      <c r="P146" s="2"/>
      <c r="Q146" s="59"/>
      <c r="R146" s="2"/>
    </row>
    <row r="147" spans="1:18" s="1" customFormat="1" ht="20.100000000000001" customHeight="1" x14ac:dyDescent="0.25">
      <c r="A147" s="68"/>
      <c r="F147" s="68"/>
      <c r="G147" s="2"/>
      <c r="H147" s="2"/>
      <c r="I147" s="72"/>
      <c r="J147" s="59"/>
      <c r="L147" s="68"/>
      <c r="N147" s="2"/>
      <c r="O147" s="2"/>
      <c r="P147" s="2"/>
      <c r="Q147" s="59"/>
      <c r="R147" s="2"/>
    </row>
    <row r="148" spans="1:18" s="1" customFormat="1" ht="20.100000000000001" customHeight="1" x14ac:dyDescent="0.25">
      <c r="A148" s="68"/>
      <c r="F148" s="68"/>
      <c r="G148" s="2"/>
      <c r="H148" s="2"/>
      <c r="I148" s="72"/>
      <c r="J148" s="59"/>
      <c r="L148" s="68"/>
      <c r="N148" s="2"/>
      <c r="O148" s="2"/>
      <c r="P148" s="2"/>
      <c r="Q148" s="59"/>
      <c r="R148" s="2"/>
    </row>
    <row r="149" spans="1:18" s="1" customFormat="1" ht="20.100000000000001" customHeight="1" x14ac:dyDescent="0.25">
      <c r="A149" s="68"/>
      <c r="F149" s="68"/>
      <c r="G149" s="2"/>
      <c r="H149" s="2"/>
      <c r="I149" s="72"/>
      <c r="J149" s="59"/>
      <c r="L149" s="68"/>
      <c r="N149" s="2"/>
      <c r="O149" s="2"/>
      <c r="P149" s="2"/>
      <c r="Q149" s="59"/>
      <c r="R149" s="2"/>
    </row>
    <row r="150" spans="1:18" s="1" customFormat="1" ht="20.100000000000001" customHeight="1" x14ac:dyDescent="0.25">
      <c r="A150" s="68"/>
      <c r="F150" s="68"/>
      <c r="G150" s="2"/>
      <c r="H150" s="2"/>
      <c r="I150" s="72"/>
      <c r="J150" s="59"/>
      <c r="L150" s="68"/>
      <c r="N150" s="2"/>
      <c r="O150" s="2"/>
      <c r="P150" s="2"/>
      <c r="Q150" s="59"/>
      <c r="R150" s="2"/>
    </row>
    <row r="151" spans="1:18" s="1" customFormat="1" ht="20.100000000000001" customHeight="1" x14ac:dyDescent="0.25">
      <c r="A151" s="68"/>
      <c r="F151" s="68"/>
      <c r="G151" s="2"/>
      <c r="H151" s="2"/>
      <c r="I151" s="72"/>
      <c r="J151" s="59"/>
      <c r="L151" s="68"/>
      <c r="N151" s="2"/>
      <c r="O151" s="2"/>
      <c r="P151" s="2"/>
      <c r="Q151" s="59"/>
      <c r="R151" s="2"/>
    </row>
    <row r="152" spans="1:18" s="1" customFormat="1" ht="20.100000000000001" customHeight="1" x14ac:dyDescent="0.25">
      <c r="A152" s="68"/>
      <c r="F152" s="68"/>
      <c r="G152" s="2"/>
      <c r="H152" s="2"/>
      <c r="I152" s="72"/>
      <c r="J152" s="59"/>
      <c r="L152" s="68"/>
      <c r="N152" s="2"/>
      <c r="O152" s="2"/>
      <c r="P152" s="2"/>
      <c r="Q152" s="59"/>
      <c r="R152" s="2"/>
    </row>
    <row r="153" spans="1:18" s="1" customFormat="1" ht="20.100000000000001" customHeight="1" x14ac:dyDescent="0.25">
      <c r="A153" s="68"/>
      <c r="F153" s="68"/>
      <c r="G153" s="2"/>
      <c r="H153" s="2"/>
      <c r="I153" s="72"/>
      <c r="J153" s="59"/>
      <c r="L153" s="68"/>
      <c r="N153" s="2"/>
      <c r="O153" s="2"/>
      <c r="P153" s="2"/>
      <c r="Q153" s="59"/>
      <c r="R153" s="2"/>
    </row>
    <row r="154" spans="1:18" s="1" customFormat="1" ht="20.100000000000001" customHeight="1" x14ac:dyDescent="0.25">
      <c r="A154" s="68"/>
      <c r="F154" s="68"/>
      <c r="G154" s="2"/>
      <c r="H154" s="2"/>
      <c r="I154" s="72"/>
      <c r="J154" s="59"/>
      <c r="L154" s="68"/>
      <c r="N154" s="2"/>
      <c r="O154" s="2"/>
      <c r="P154" s="2"/>
      <c r="Q154" s="59"/>
      <c r="R154" s="2"/>
    </row>
    <row r="155" spans="1:18" s="1" customFormat="1" ht="20.100000000000001" customHeight="1" x14ac:dyDescent="0.25">
      <c r="A155" s="68"/>
      <c r="F155" s="68"/>
      <c r="G155" s="2"/>
      <c r="H155" s="2"/>
      <c r="I155" s="72"/>
      <c r="J155" s="59"/>
      <c r="L155" s="68"/>
      <c r="N155" s="2"/>
      <c r="O155" s="2"/>
      <c r="P155" s="2"/>
      <c r="Q155" s="59"/>
      <c r="R155" s="2"/>
    </row>
    <row r="156" spans="1:18" s="1" customFormat="1" ht="20.100000000000001" customHeight="1" x14ac:dyDescent="0.25">
      <c r="A156" s="68"/>
      <c r="F156" s="68"/>
      <c r="G156" s="2"/>
      <c r="H156" s="2"/>
      <c r="I156" s="72"/>
      <c r="J156" s="59"/>
      <c r="L156" s="68"/>
      <c r="N156" s="2"/>
      <c r="O156" s="2"/>
      <c r="P156" s="2"/>
      <c r="Q156" s="59"/>
      <c r="R156" s="2"/>
    </row>
    <row r="157" spans="1:18" s="1" customFormat="1" ht="20.100000000000001" customHeight="1" x14ac:dyDescent="0.25">
      <c r="A157" s="68"/>
      <c r="F157" s="68"/>
      <c r="G157" s="2"/>
      <c r="H157" s="2"/>
      <c r="I157" s="72"/>
      <c r="J157" s="59"/>
      <c r="L157" s="68"/>
      <c r="N157" s="2"/>
      <c r="O157" s="2"/>
      <c r="P157" s="2"/>
      <c r="Q157" s="59"/>
      <c r="R157" s="2"/>
    </row>
    <row r="158" spans="1:18" s="1" customFormat="1" ht="20.100000000000001" customHeight="1" x14ac:dyDescent="0.25">
      <c r="A158" s="68"/>
      <c r="F158" s="68"/>
      <c r="G158" s="2"/>
      <c r="H158" s="2"/>
      <c r="I158" s="72"/>
      <c r="J158" s="59"/>
      <c r="L158" s="68"/>
      <c r="N158" s="2"/>
      <c r="O158" s="2"/>
      <c r="P158" s="2"/>
      <c r="Q158" s="59"/>
      <c r="R158" s="2"/>
    </row>
    <row r="159" spans="1:18" s="1" customFormat="1" ht="20.100000000000001" customHeight="1" x14ac:dyDescent="0.25">
      <c r="A159" s="68"/>
      <c r="F159" s="68"/>
      <c r="G159" s="2"/>
      <c r="H159" s="2"/>
      <c r="I159" s="72"/>
      <c r="J159" s="59"/>
      <c r="L159" s="68"/>
      <c r="N159" s="2"/>
      <c r="O159" s="2"/>
      <c r="P159" s="2"/>
      <c r="Q159" s="59"/>
      <c r="R159" s="2"/>
    </row>
    <row r="160" spans="1:18" s="1" customFormat="1" ht="20.100000000000001" customHeight="1" x14ac:dyDescent="0.25">
      <c r="A160" s="68"/>
      <c r="F160" s="68"/>
      <c r="G160" s="2"/>
      <c r="H160" s="2"/>
      <c r="I160" s="72"/>
      <c r="J160" s="59"/>
      <c r="L160" s="68"/>
      <c r="N160" s="2"/>
      <c r="O160" s="2"/>
      <c r="P160" s="2"/>
      <c r="Q160" s="59"/>
      <c r="R160" s="2"/>
    </row>
    <row r="161" spans="1:18" s="1" customFormat="1" ht="20.100000000000001" customHeight="1" x14ac:dyDescent="0.25">
      <c r="A161" s="68"/>
      <c r="F161" s="68"/>
      <c r="G161" s="2"/>
      <c r="H161" s="2"/>
      <c r="I161" s="72"/>
      <c r="J161" s="59"/>
      <c r="L161" s="68"/>
      <c r="N161" s="2"/>
      <c r="O161" s="2"/>
      <c r="P161" s="2"/>
      <c r="Q161" s="59"/>
      <c r="R161" s="2"/>
    </row>
    <row r="162" spans="1:18" s="1" customFormat="1" ht="20.100000000000001" customHeight="1" x14ac:dyDescent="0.25">
      <c r="A162" s="68"/>
      <c r="F162" s="68"/>
      <c r="G162" s="2"/>
      <c r="H162" s="2"/>
      <c r="I162" s="72"/>
      <c r="J162" s="59"/>
      <c r="L162" s="68"/>
      <c r="N162" s="2"/>
      <c r="O162" s="2"/>
      <c r="P162" s="2"/>
      <c r="Q162" s="59"/>
      <c r="R162" s="2"/>
    </row>
    <row r="163" spans="1:18" s="1" customFormat="1" ht="20.100000000000001" customHeight="1" x14ac:dyDescent="0.25">
      <c r="A163" s="68"/>
      <c r="F163" s="68"/>
      <c r="G163" s="2"/>
      <c r="H163" s="2"/>
      <c r="I163" s="72"/>
      <c r="J163" s="59"/>
      <c r="L163" s="68"/>
      <c r="N163" s="2"/>
      <c r="O163" s="2"/>
      <c r="P163" s="2"/>
      <c r="Q163" s="59"/>
      <c r="R163" s="2"/>
    </row>
    <row r="164" spans="1:18" s="1" customFormat="1" ht="20.100000000000001" customHeight="1" x14ac:dyDescent="0.25">
      <c r="A164" s="68"/>
      <c r="F164" s="68"/>
      <c r="G164" s="2"/>
      <c r="H164" s="2"/>
      <c r="I164" s="72"/>
      <c r="J164" s="59"/>
      <c r="L164" s="68"/>
      <c r="N164" s="2"/>
      <c r="O164" s="2"/>
      <c r="P164" s="2"/>
      <c r="Q164" s="59"/>
      <c r="R164" s="2"/>
    </row>
    <row r="165" spans="1:18" s="1" customFormat="1" ht="20.100000000000001" customHeight="1" x14ac:dyDescent="0.25">
      <c r="A165" s="68"/>
      <c r="F165" s="68"/>
      <c r="G165" s="2"/>
      <c r="H165" s="2"/>
      <c r="I165" s="72"/>
      <c r="J165" s="59"/>
      <c r="L165" s="68"/>
      <c r="N165" s="2"/>
      <c r="O165" s="2"/>
      <c r="P165" s="2"/>
      <c r="Q165" s="59"/>
      <c r="R165" s="2"/>
    </row>
    <row r="166" spans="1:18" s="1" customFormat="1" ht="20.100000000000001" customHeight="1" x14ac:dyDescent="0.25">
      <c r="A166" s="68"/>
      <c r="F166" s="68"/>
      <c r="G166" s="2"/>
      <c r="H166" s="2"/>
      <c r="I166" s="72"/>
      <c r="J166" s="59"/>
      <c r="L166" s="68"/>
      <c r="N166" s="2"/>
      <c r="O166" s="2"/>
      <c r="P166" s="2"/>
      <c r="Q166" s="59"/>
      <c r="R166" s="2"/>
    </row>
    <row r="167" spans="1:18" s="1" customFormat="1" ht="20.100000000000001" customHeight="1" x14ac:dyDescent="0.25">
      <c r="A167" s="68"/>
      <c r="F167" s="68"/>
      <c r="G167" s="2"/>
      <c r="H167" s="2"/>
      <c r="I167" s="72"/>
      <c r="J167" s="59"/>
      <c r="L167" s="68"/>
      <c r="N167" s="2"/>
      <c r="O167" s="2"/>
      <c r="P167" s="2"/>
      <c r="Q167" s="59"/>
      <c r="R167" s="2"/>
    </row>
    <row r="168" spans="1:18" s="1" customFormat="1" ht="20.100000000000001" customHeight="1" x14ac:dyDescent="0.25">
      <c r="A168" s="68"/>
      <c r="F168" s="68"/>
      <c r="G168" s="2"/>
      <c r="H168" s="2"/>
      <c r="I168" s="72"/>
      <c r="J168" s="59"/>
      <c r="L168" s="68"/>
      <c r="N168" s="2"/>
      <c r="O168" s="2"/>
      <c r="P168" s="2"/>
      <c r="Q168" s="59"/>
      <c r="R168" s="2"/>
    </row>
    <row r="169" spans="1:18" s="1" customFormat="1" ht="20.100000000000001" customHeight="1" x14ac:dyDescent="0.25">
      <c r="A169" s="68"/>
      <c r="F169" s="68"/>
      <c r="G169" s="2"/>
      <c r="H169" s="2"/>
      <c r="I169" s="72"/>
      <c r="J169" s="59"/>
      <c r="L169" s="68"/>
      <c r="N169" s="2"/>
      <c r="O169" s="2"/>
      <c r="P169" s="2"/>
      <c r="Q169" s="59"/>
      <c r="R169" s="2"/>
    </row>
    <row r="170" spans="1:18" s="1" customFormat="1" ht="20.100000000000001" customHeight="1" x14ac:dyDescent="0.25">
      <c r="A170" s="68"/>
      <c r="F170" s="68"/>
      <c r="G170" s="2"/>
      <c r="H170" s="2"/>
      <c r="I170" s="72"/>
      <c r="J170" s="59"/>
      <c r="L170" s="68"/>
      <c r="N170" s="2"/>
      <c r="O170" s="2"/>
      <c r="P170" s="2"/>
      <c r="Q170" s="59"/>
      <c r="R170" s="2"/>
    </row>
    <row r="171" spans="1:18" s="1" customFormat="1" ht="20.100000000000001" customHeight="1" x14ac:dyDescent="0.25">
      <c r="A171" s="68"/>
      <c r="F171" s="68"/>
      <c r="G171" s="2"/>
      <c r="H171" s="2"/>
      <c r="I171" s="72"/>
      <c r="J171" s="59"/>
      <c r="L171" s="68"/>
      <c r="N171" s="2"/>
      <c r="O171" s="2"/>
      <c r="P171" s="2"/>
      <c r="Q171" s="59"/>
      <c r="R171" s="2"/>
    </row>
    <row r="172" spans="1:18" s="1" customFormat="1" ht="20.100000000000001" customHeight="1" x14ac:dyDescent="0.25">
      <c r="A172" s="68"/>
      <c r="F172" s="68"/>
      <c r="G172" s="2"/>
      <c r="H172" s="2"/>
      <c r="I172" s="72"/>
      <c r="J172" s="59"/>
      <c r="L172" s="68"/>
      <c r="N172" s="2"/>
      <c r="O172" s="2"/>
      <c r="P172" s="2"/>
      <c r="Q172" s="59"/>
      <c r="R172" s="2"/>
    </row>
    <row r="173" spans="1:18" s="1" customFormat="1" ht="20.100000000000001" customHeight="1" x14ac:dyDescent="0.25">
      <c r="A173" s="68"/>
      <c r="F173" s="68"/>
      <c r="G173" s="2"/>
      <c r="H173" s="2"/>
      <c r="I173" s="72"/>
      <c r="J173" s="59"/>
      <c r="L173" s="68"/>
      <c r="N173" s="2"/>
      <c r="O173" s="2"/>
      <c r="P173" s="2"/>
      <c r="Q173" s="59"/>
      <c r="R173" s="2"/>
    </row>
    <row r="174" spans="1:18" s="1" customFormat="1" ht="20.100000000000001" customHeight="1" x14ac:dyDescent="0.25">
      <c r="A174" s="68"/>
      <c r="F174" s="68"/>
      <c r="G174" s="2"/>
      <c r="H174" s="2"/>
      <c r="I174" s="72"/>
      <c r="J174" s="59"/>
      <c r="L174" s="68"/>
      <c r="N174" s="2"/>
      <c r="O174" s="2"/>
      <c r="P174" s="2"/>
      <c r="Q174" s="59"/>
      <c r="R174" s="2"/>
    </row>
    <row r="175" spans="1:18" s="1" customFormat="1" ht="20.100000000000001" customHeight="1" x14ac:dyDescent="0.25">
      <c r="A175" s="68"/>
      <c r="F175" s="68"/>
      <c r="G175" s="2"/>
      <c r="H175" s="2"/>
      <c r="I175" s="72"/>
      <c r="J175" s="59"/>
      <c r="L175" s="68"/>
      <c r="N175" s="2"/>
      <c r="O175" s="2"/>
      <c r="P175" s="2"/>
      <c r="Q175" s="59"/>
      <c r="R175" s="2"/>
    </row>
    <row r="176" spans="1:18" s="1" customFormat="1" ht="20.100000000000001" customHeight="1" x14ac:dyDescent="0.25">
      <c r="A176" s="68"/>
      <c r="F176" s="68"/>
      <c r="G176" s="2"/>
      <c r="H176" s="2"/>
      <c r="I176" s="72"/>
      <c r="J176" s="59"/>
      <c r="L176" s="68"/>
      <c r="N176" s="2"/>
      <c r="O176" s="2"/>
      <c r="P176" s="2"/>
      <c r="Q176" s="59"/>
      <c r="R176" s="2"/>
    </row>
    <row r="177" spans="1:18" s="1" customFormat="1" ht="20.100000000000001" customHeight="1" x14ac:dyDescent="0.25">
      <c r="A177" s="68"/>
      <c r="F177" s="68"/>
      <c r="G177" s="2"/>
      <c r="H177" s="2"/>
      <c r="I177" s="72"/>
      <c r="J177" s="59"/>
      <c r="L177" s="68"/>
      <c r="N177" s="2"/>
      <c r="O177" s="2"/>
      <c r="P177" s="2"/>
      <c r="Q177" s="59"/>
      <c r="R177" s="2"/>
    </row>
    <row r="178" spans="1:18" s="1" customFormat="1" ht="20.100000000000001" customHeight="1" x14ac:dyDescent="0.25">
      <c r="A178" s="68"/>
      <c r="F178" s="68"/>
      <c r="G178" s="2"/>
      <c r="H178" s="2"/>
      <c r="I178" s="72"/>
      <c r="J178" s="59"/>
      <c r="L178" s="68"/>
      <c r="N178" s="2"/>
      <c r="O178" s="2"/>
      <c r="P178" s="2"/>
      <c r="Q178" s="59"/>
      <c r="R178" s="2"/>
    </row>
    <row r="179" spans="1:18" s="1" customFormat="1" ht="20.100000000000001" customHeight="1" x14ac:dyDescent="0.25">
      <c r="A179" s="68"/>
      <c r="F179" s="68"/>
      <c r="G179" s="2"/>
      <c r="H179" s="2"/>
      <c r="I179" s="72"/>
      <c r="J179" s="59"/>
      <c r="L179" s="68"/>
      <c r="N179" s="2"/>
      <c r="O179" s="2"/>
      <c r="P179" s="2"/>
      <c r="Q179" s="59"/>
      <c r="R179" s="2"/>
    </row>
    <row r="180" spans="1:18" s="1" customFormat="1" ht="20.100000000000001" customHeight="1" x14ac:dyDescent="0.25">
      <c r="A180" s="68"/>
      <c r="F180" s="68"/>
      <c r="G180" s="2"/>
      <c r="H180" s="2"/>
      <c r="I180" s="72"/>
      <c r="J180" s="59"/>
      <c r="L180" s="68"/>
      <c r="N180" s="2"/>
      <c r="O180" s="2"/>
      <c r="P180" s="2"/>
      <c r="Q180" s="59"/>
      <c r="R180" s="2"/>
    </row>
    <row r="181" spans="1:18" s="1" customFormat="1" ht="20.100000000000001" customHeight="1" x14ac:dyDescent="0.25">
      <c r="A181" s="68"/>
      <c r="F181" s="68"/>
      <c r="G181" s="2"/>
      <c r="H181" s="2"/>
      <c r="I181" s="72"/>
      <c r="J181" s="59"/>
      <c r="L181" s="68"/>
      <c r="N181" s="2"/>
      <c r="O181" s="2"/>
      <c r="P181" s="2"/>
      <c r="Q181" s="59"/>
      <c r="R181" s="2"/>
    </row>
    <row r="182" spans="1:18" s="1" customFormat="1" ht="20.100000000000001" customHeight="1" x14ac:dyDescent="0.25">
      <c r="A182" s="68"/>
      <c r="F182" s="68"/>
      <c r="G182" s="2"/>
      <c r="H182" s="2"/>
      <c r="I182" s="72"/>
      <c r="J182" s="59"/>
      <c r="L182" s="68"/>
      <c r="N182" s="2"/>
      <c r="O182" s="2"/>
      <c r="P182" s="2"/>
      <c r="Q182" s="59"/>
      <c r="R182" s="2"/>
    </row>
    <row r="183" spans="1:18" s="1" customFormat="1" ht="20.100000000000001" customHeight="1" x14ac:dyDescent="0.25">
      <c r="A183" s="68"/>
      <c r="F183" s="68"/>
      <c r="G183" s="2"/>
      <c r="H183" s="2"/>
      <c r="I183" s="72"/>
      <c r="J183" s="59"/>
      <c r="L183" s="68"/>
      <c r="N183" s="2"/>
      <c r="O183" s="2"/>
      <c r="P183" s="2"/>
      <c r="Q183" s="59"/>
      <c r="R183" s="2"/>
    </row>
    <row r="184" spans="1:18" s="1" customFormat="1" ht="20.100000000000001" customHeight="1" x14ac:dyDescent="0.25">
      <c r="A184" s="68"/>
      <c r="F184" s="68"/>
      <c r="G184" s="2"/>
      <c r="H184" s="2"/>
      <c r="I184" s="72"/>
      <c r="J184" s="59"/>
      <c r="L184" s="68"/>
      <c r="N184" s="2"/>
      <c r="O184" s="2"/>
      <c r="P184" s="2"/>
      <c r="Q184" s="59"/>
      <c r="R184" s="2"/>
    </row>
    <row r="185" spans="1:18" s="1" customFormat="1" ht="20.100000000000001" customHeight="1" x14ac:dyDescent="0.25">
      <c r="A185" s="68"/>
      <c r="F185" s="68"/>
      <c r="G185" s="2"/>
      <c r="H185" s="2"/>
      <c r="I185" s="72"/>
      <c r="J185" s="59"/>
      <c r="L185" s="68"/>
      <c r="N185" s="2"/>
      <c r="O185" s="2"/>
      <c r="P185" s="2"/>
      <c r="Q185" s="59"/>
      <c r="R185" s="2"/>
    </row>
    <row r="186" spans="1:18" s="1" customFormat="1" ht="20.100000000000001" customHeight="1" x14ac:dyDescent="0.25">
      <c r="A186" s="68"/>
      <c r="F186" s="68"/>
      <c r="G186" s="2"/>
      <c r="H186" s="2"/>
      <c r="I186" s="72"/>
      <c r="J186" s="59"/>
      <c r="L186" s="68"/>
      <c r="N186" s="2"/>
      <c r="O186" s="2"/>
      <c r="P186" s="2"/>
      <c r="Q186" s="59"/>
      <c r="R186" s="2"/>
    </row>
    <row r="187" spans="1:18" s="1" customFormat="1" ht="20.100000000000001" customHeight="1" x14ac:dyDescent="0.25">
      <c r="A187" s="68"/>
      <c r="F187" s="68"/>
      <c r="G187" s="2"/>
      <c r="H187" s="2"/>
      <c r="I187" s="72"/>
      <c r="J187" s="59"/>
      <c r="L187" s="68"/>
      <c r="N187" s="2"/>
      <c r="O187" s="2"/>
      <c r="P187" s="2"/>
      <c r="Q187" s="59"/>
      <c r="R187" s="2"/>
    </row>
    <row r="188" spans="1:18" s="1" customFormat="1" ht="20.100000000000001" customHeight="1" x14ac:dyDescent="0.25">
      <c r="A188" s="68"/>
      <c r="F188" s="68"/>
      <c r="G188" s="2"/>
      <c r="H188" s="2"/>
      <c r="I188" s="72"/>
      <c r="J188" s="59"/>
      <c r="L188" s="68"/>
      <c r="N188" s="2"/>
      <c r="O188" s="2"/>
      <c r="P188" s="2"/>
      <c r="Q188" s="59"/>
      <c r="R188" s="2"/>
    </row>
    <row r="189" spans="1:18" s="1" customFormat="1" ht="20.100000000000001" customHeight="1" x14ac:dyDescent="0.25">
      <c r="A189" s="68"/>
      <c r="F189" s="68"/>
      <c r="G189" s="2"/>
      <c r="H189" s="2"/>
      <c r="I189" s="72"/>
      <c r="J189" s="59"/>
      <c r="L189" s="68"/>
      <c r="N189" s="2"/>
      <c r="O189" s="2"/>
      <c r="P189" s="2"/>
      <c r="Q189" s="59"/>
      <c r="R189" s="2"/>
    </row>
    <row r="190" spans="1:18" s="1" customFormat="1" ht="20.100000000000001" customHeight="1" x14ac:dyDescent="0.25">
      <c r="A190" s="68"/>
      <c r="F190" s="68"/>
      <c r="G190" s="2"/>
      <c r="H190" s="2"/>
      <c r="I190" s="72"/>
      <c r="J190" s="59"/>
      <c r="L190" s="68"/>
      <c r="N190" s="2"/>
      <c r="O190" s="2"/>
      <c r="P190" s="2"/>
      <c r="Q190" s="59"/>
      <c r="R190" s="2"/>
    </row>
    <row r="191" spans="1:18" s="1" customFormat="1" ht="20.100000000000001" customHeight="1" x14ac:dyDescent="0.25">
      <c r="A191" s="68"/>
      <c r="F191" s="68"/>
      <c r="G191" s="2"/>
      <c r="H191" s="2"/>
      <c r="I191" s="72"/>
      <c r="J191" s="59"/>
      <c r="L191" s="68"/>
      <c r="N191" s="2"/>
      <c r="O191" s="2"/>
      <c r="P191" s="2"/>
      <c r="Q191" s="59"/>
      <c r="R191" s="2"/>
    </row>
    <row r="192" spans="1:18" s="1" customFormat="1" ht="20.100000000000001" customHeight="1" x14ac:dyDescent="0.25">
      <c r="A192" s="68"/>
      <c r="F192" s="68"/>
      <c r="G192" s="2"/>
      <c r="H192" s="2"/>
      <c r="I192" s="72"/>
      <c r="J192" s="59"/>
      <c r="L192" s="68"/>
      <c r="N192" s="2"/>
      <c r="O192" s="2"/>
      <c r="P192" s="2"/>
      <c r="Q192" s="59"/>
      <c r="R192" s="2"/>
    </row>
    <row r="193" spans="1:18" s="1" customFormat="1" ht="20.100000000000001" customHeight="1" x14ac:dyDescent="0.25">
      <c r="A193" s="68"/>
      <c r="F193" s="68"/>
      <c r="G193" s="2"/>
      <c r="H193" s="2"/>
      <c r="I193" s="72"/>
      <c r="J193" s="59"/>
      <c r="L193" s="68"/>
      <c r="N193" s="2"/>
      <c r="O193" s="2"/>
      <c r="P193" s="2"/>
      <c r="Q193" s="59"/>
      <c r="R193" s="2"/>
    </row>
    <row r="194" spans="1:18" s="1" customFormat="1" ht="20.100000000000001" customHeight="1" x14ac:dyDescent="0.25">
      <c r="A194" s="68"/>
      <c r="F194" s="68"/>
      <c r="G194" s="2"/>
      <c r="H194" s="2"/>
      <c r="I194" s="72"/>
      <c r="J194" s="59"/>
      <c r="L194" s="68"/>
      <c r="N194" s="2"/>
      <c r="O194" s="2"/>
      <c r="P194" s="2"/>
      <c r="Q194" s="59"/>
      <c r="R194" s="2"/>
    </row>
    <row r="195" spans="1:18" s="1" customFormat="1" ht="20.100000000000001" customHeight="1" x14ac:dyDescent="0.25">
      <c r="A195" s="68"/>
      <c r="F195" s="68"/>
      <c r="G195" s="2"/>
      <c r="H195" s="2"/>
      <c r="I195" s="72"/>
      <c r="J195" s="59"/>
      <c r="L195" s="68"/>
      <c r="N195" s="2"/>
      <c r="O195" s="2"/>
      <c r="P195" s="2"/>
      <c r="Q195" s="59"/>
      <c r="R195" s="2"/>
    </row>
    <row r="196" spans="1:18" s="1" customFormat="1" ht="20.100000000000001" customHeight="1" x14ac:dyDescent="0.25">
      <c r="A196" s="68"/>
      <c r="F196" s="68"/>
      <c r="G196" s="2"/>
      <c r="H196" s="2"/>
      <c r="I196" s="72"/>
      <c r="J196" s="59"/>
      <c r="L196" s="68"/>
      <c r="N196" s="2"/>
      <c r="O196" s="2"/>
      <c r="P196" s="2"/>
      <c r="Q196" s="59"/>
      <c r="R196" s="2"/>
    </row>
    <row r="197" spans="1:18" s="1" customFormat="1" ht="20.100000000000001" customHeight="1" x14ac:dyDescent="0.25">
      <c r="A197" s="68"/>
      <c r="F197" s="68"/>
      <c r="G197" s="2"/>
      <c r="H197" s="2"/>
      <c r="I197" s="72"/>
      <c r="J197" s="59"/>
      <c r="L197" s="68"/>
      <c r="N197" s="2"/>
      <c r="O197" s="2"/>
      <c r="P197" s="2"/>
      <c r="Q197" s="59"/>
      <c r="R197" s="2"/>
    </row>
    <row r="198" spans="1:18" s="1" customFormat="1" ht="20.100000000000001" customHeight="1" x14ac:dyDescent="0.25">
      <c r="A198" s="68"/>
      <c r="F198" s="68"/>
      <c r="G198" s="2"/>
      <c r="H198" s="2"/>
      <c r="I198" s="72"/>
      <c r="J198" s="59"/>
      <c r="L198" s="68"/>
      <c r="N198" s="2"/>
      <c r="O198" s="2"/>
      <c r="P198" s="2"/>
      <c r="Q198" s="59"/>
      <c r="R198" s="2"/>
    </row>
    <row r="199" spans="1:18" s="1" customFormat="1" ht="20.100000000000001" customHeight="1" x14ac:dyDescent="0.25">
      <c r="A199" s="68"/>
      <c r="F199" s="68"/>
      <c r="G199" s="2"/>
      <c r="H199" s="2"/>
      <c r="I199" s="72"/>
      <c r="J199" s="59"/>
      <c r="L199" s="68"/>
      <c r="N199" s="2"/>
      <c r="O199" s="2"/>
      <c r="P199" s="2"/>
      <c r="Q199" s="59"/>
      <c r="R199" s="2"/>
    </row>
    <row r="200" spans="1:18" s="1" customFormat="1" ht="20.100000000000001" customHeight="1" x14ac:dyDescent="0.25">
      <c r="A200" s="68"/>
      <c r="F200" s="68"/>
      <c r="G200" s="2"/>
      <c r="H200" s="2"/>
      <c r="I200" s="72"/>
      <c r="J200" s="59"/>
      <c r="L200" s="68"/>
      <c r="N200" s="2"/>
      <c r="O200" s="2"/>
      <c r="P200" s="2"/>
      <c r="Q200" s="59"/>
      <c r="R200" s="2"/>
    </row>
    <row r="201" spans="1:18" s="1" customFormat="1" ht="20.100000000000001" customHeight="1" x14ac:dyDescent="0.25">
      <c r="A201" s="68"/>
      <c r="F201" s="68"/>
      <c r="G201" s="2"/>
      <c r="H201" s="2"/>
      <c r="I201" s="72"/>
      <c r="J201" s="59"/>
      <c r="L201" s="68"/>
      <c r="N201" s="2"/>
      <c r="O201" s="2"/>
      <c r="P201" s="2"/>
      <c r="Q201" s="59"/>
      <c r="R201" s="2"/>
    </row>
    <row r="202" spans="1:18" s="1" customFormat="1" ht="20.100000000000001" customHeight="1" x14ac:dyDescent="0.25">
      <c r="A202" s="68"/>
      <c r="F202" s="68"/>
      <c r="G202" s="2"/>
      <c r="H202" s="2"/>
      <c r="I202" s="72"/>
      <c r="J202" s="59"/>
      <c r="L202" s="68"/>
      <c r="N202" s="2"/>
      <c r="O202" s="2"/>
      <c r="P202" s="2"/>
      <c r="Q202" s="59"/>
      <c r="R202" s="2"/>
    </row>
    <row r="203" spans="1:18" s="1" customFormat="1" ht="20.100000000000001" customHeight="1" x14ac:dyDescent="0.25">
      <c r="A203" s="68"/>
      <c r="F203" s="68"/>
      <c r="G203" s="2"/>
      <c r="H203" s="2"/>
      <c r="I203" s="72"/>
      <c r="J203" s="59"/>
      <c r="L203" s="68"/>
      <c r="N203" s="2"/>
      <c r="O203" s="2"/>
      <c r="P203" s="2"/>
      <c r="Q203" s="59"/>
      <c r="R203" s="2"/>
    </row>
    <row r="204" spans="1:18" s="1" customFormat="1" ht="20.100000000000001" customHeight="1" x14ac:dyDescent="0.25">
      <c r="A204" s="68"/>
      <c r="F204" s="68"/>
      <c r="G204" s="2"/>
      <c r="H204" s="2"/>
      <c r="I204" s="72"/>
      <c r="J204" s="59"/>
      <c r="L204" s="68"/>
      <c r="N204" s="2"/>
      <c r="O204" s="2"/>
      <c r="P204" s="2"/>
      <c r="Q204" s="59"/>
      <c r="R204" s="2"/>
    </row>
    <row r="205" spans="1:18" s="1" customFormat="1" ht="20.100000000000001" customHeight="1" x14ac:dyDescent="0.25">
      <c r="A205" s="68"/>
      <c r="F205" s="68"/>
      <c r="G205" s="2"/>
      <c r="H205" s="2"/>
      <c r="I205" s="72"/>
      <c r="J205" s="59"/>
      <c r="L205" s="68"/>
      <c r="N205" s="2"/>
      <c r="O205" s="2"/>
      <c r="P205" s="2"/>
      <c r="Q205" s="59"/>
      <c r="R205" s="2"/>
    </row>
    <row r="206" spans="1:18" s="1" customFormat="1" ht="20.100000000000001" customHeight="1" x14ac:dyDescent="0.25">
      <c r="A206" s="68"/>
      <c r="F206" s="68"/>
      <c r="G206" s="2"/>
      <c r="H206" s="2"/>
      <c r="I206" s="72"/>
      <c r="J206" s="59"/>
      <c r="L206" s="68"/>
      <c r="N206" s="2"/>
      <c r="O206" s="2"/>
      <c r="P206" s="2"/>
      <c r="Q206" s="59"/>
      <c r="R206" s="2"/>
    </row>
    <row r="207" spans="1:18" s="1" customFormat="1" ht="20.100000000000001" customHeight="1" x14ac:dyDescent="0.25">
      <c r="A207" s="68"/>
      <c r="F207" s="68"/>
      <c r="G207" s="2"/>
      <c r="H207" s="2"/>
      <c r="I207" s="72"/>
      <c r="J207" s="59"/>
      <c r="L207" s="68"/>
      <c r="N207" s="2"/>
      <c r="O207" s="2"/>
      <c r="P207" s="2"/>
      <c r="Q207" s="59"/>
      <c r="R207" s="2"/>
    </row>
    <row r="208" spans="1:18" s="1" customFormat="1" ht="20.100000000000001" customHeight="1" x14ac:dyDescent="0.25">
      <c r="A208" s="68"/>
      <c r="F208" s="68"/>
      <c r="G208" s="2"/>
      <c r="H208" s="2"/>
      <c r="I208" s="72"/>
      <c r="J208" s="59"/>
      <c r="L208" s="68"/>
      <c r="N208" s="2"/>
      <c r="O208" s="2"/>
      <c r="P208" s="2"/>
      <c r="Q208" s="59"/>
      <c r="R208" s="2"/>
    </row>
    <row r="209" spans="1:18" s="1" customFormat="1" ht="20.100000000000001" customHeight="1" x14ac:dyDescent="0.25">
      <c r="A209" s="68"/>
      <c r="F209" s="68"/>
      <c r="G209" s="2"/>
      <c r="H209" s="2"/>
      <c r="I209" s="72"/>
      <c r="J209" s="59"/>
      <c r="L209" s="68"/>
      <c r="N209" s="2"/>
      <c r="O209" s="2"/>
      <c r="P209" s="2"/>
      <c r="Q209" s="59"/>
      <c r="R209" s="2"/>
    </row>
    <row r="210" spans="1:18" s="1" customFormat="1" ht="20.100000000000001" customHeight="1" x14ac:dyDescent="0.25">
      <c r="A210" s="68"/>
      <c r="F210" s="68"/>
      <c r="G210" s="2"/>
      <c r="H210" s="2"/>
      <c r="I210" s="72"/>
      <c r="J210" s="59"/>
      <c r="L210" s="68"/>
      <c r="N210" s="2"/>
      <c r="O210" s="2"/>
      <c r="P210" s="2"/>
      <c r="Q210" s="59"/>
      <c r="R210" s="2"/>
    </row>
    <row r="211" spans="1:18" s="1" customFormat="1" ht="20.100000000000001" customHeight="1" x14ac:dyDescent="0.25">
      <c r="A211" s="68"/>
      <c r="F211" s="68"/>
      <c r="G211" s="2"/>
      <c r="H211" s="2"/>
      <c r="I211" s="72"/>
      <c r="J211" s="59"/>
      <c r="L211" s="68"/>
      <c r="N211" s="2"/>
      <c r="O211" s="2"/>
      <c r="P211" s="2"/>
      <c r="Q211" s="59"/>
      <c r="R211" s="2"/>
    </row>
    <row r="212" spans="1:18" s="1" customFormat="1" ht="20.100000000000001" customHeight="1" x14ac:dyDescent="0.25">
      <c r="A212" s="68"/>
      <c r="F212" s="68"/>
      <c r="G212" s="2"/>
      <c r="H212" s="2"/>
      <c r="I212" s="72"/>
      <c r="J212" s="59"/>
      <c r="L212" s="68"/>
      <c r="N212" s="2"/>
      <c r="O212" s="2"/>
      <c r="P212" s="2"/>
      <c r="Q212" s="59"/>
      <c r="R212" s="2"/>
    </row>
    <row r="213" spans="1:18" s="1" customFormat="1" ht="20.100000000000001" customHeight="1" x14ac:dyDescent="0.25">
      <c r="A213" s="68"/>
      <c r="F213" s="68"/>
      <c r="G213" s="2"/>
      <c r="H213" s="2"/>
      <c r="I213" s="72"/>
      <c r="J213" s="59"/>
      <c r="L213" s="68"/>
      <c r="N213" s="2"/>
      <c r="O213" s="2"/>
      <c r="P213" s="2"/>
      <c r="Q213" s="59"/>
      <c r="R213" s="2"/>
    </row>
    <row r="214" spans="1:18" s="1" customFormat="1" ht="20.100000000000001" customHeight="1" x14ac:dyDescent="0.25">
      <c r="A214" s="68"/>
      <c r="F214" s="68"/>
      <c r="G214" s="2"/>
      <c r="H214" s="2"/>
      <c r="I214" s="72"/>
      <c r="J214" s="59"/>
      <c r="L214" s="68"/>
      <c r="N214" s="2"/>
      <c r="O214" s="2"/>
      <c r="P214" s="2"/>
      <c r="Q214" s="59"/>
      <c r="R214" s="2"/>
    </row>
    <row r="215" spans="1:18" s="1" customFormat="1" ht="20.100000000000001" customHeight="1" x14ac:dyDescent="0.25">
      <c r="A215" s="68"/>
      <c r="F215" s="68"/>
      <c r="G215" s="2"/>
      <c r="H215" s="2"/>
      <c r="I215" s="72"/>
      <c r="J215" s="59"/>
      <c r="L215" s="68"/>
      <c r="N215" s="2"/>
      <c r="O215" s="2"/>
      <c r="P215" s="2"/>
      <c r="Q215" s="59"/>
      <c r="R215" s="2"/>
    </row>
    <row r="216" spans="1:18" s="1" customFormat="1" ht="20.100000000000001" customHeight="1" x14ac:dyDescent="0.25">
      <c r="A216" s="68"/>
      <c r="F216" s="68"/>
      <c r="G216" s="2"/>
      <c r="H216" s="2"/>
      <c r="I216" s="72"/>
      <c r="J216" s="59"/>
      <c r="L216" s="68"/>
      <c r="N216" s="2"/>
      <c r="O216" s="2"/>
      <c r="P216" s="2"/>
      <c r="Q216" s="59"/>
      <c r="R216" s="2"/>
    </row>
    <row r="217" spans="1:18" s="1" customFormat="1" ht="20.100000000000001" customHeight="1" x14ac:dyDescent="0.25">
      <c r="A217" s="68"/>
      <c r="F217" s="68"/>
      <c r="G217" s="2"/>
      <c r="H217" s="2"/>
      <c r="I217" s="72"/>
      <c r="J217" s="59"/>
      <c r="L217" s="68"/>
      <c r="N217" s="2"/>
      <c r="O217" s="2"/>
      <c r="P217" s="2"/>
      <c r="Q217" s="59"/>
      <c r="R217" s="2"/>
    </row>
    <row r="218" spans="1:18" s="1" customFormat="1" ht="20.100000000000001" customHeight="1" x14ac:dyDescent="0.25">
      <c r="A218" s="68"/>
      <c r="F218" s="68"/>
      <c r="G218" s="2"/>
      <c r="H218" s="2"/>
      <c r="I218" s="72"/>
      <c r="J218" s="59"/>
      <c r="L218" s="68"/>
      <c r="N218" s="2"/>
      <c r="O218" s="2"/>
      <c r="P218" s="2"/>
      <c r="Q218" s="59"/>
      <c r="R218" s="2"/>
    </row>
    <row r="219" spans="1:18" s="1" customFormat="1" ht="20.100000000000001" customHeight="1" x14ac:dyDescent="0.25">
      <c r="A219" s="68"/>
      <c r="F219" s="68"/>
      <c r="G219" s="2"/>
      <c r="H219" s="2"/>
      <c r="I219" s="72"/>
      <c r="J219" s="59"/>
      <c r="L219" s="68"/>
      <c r="N219" s="2"/>
      <c r="O219" s="2"/>
      <c r="P219" s="2"/>
      <c r="Q219" s="59"/>
      <c r="R219" s="2"/>
    </row>
    <row r="220" spans="1:18" s="1" customFormat="1" ht="20.100000000000001" customHeight="1" x14ac:dyDescent="0.25">
      <c r="A220" s="68"/>
      <c r="F220" s="68"/>
      <c r="G220" s="2"/>
      <c r="H220" s="2"/>
      <c r="I220" s="72"/>
      <c r="J220" s="59"/>
      <c r="L220" s="68"/>
      <c r="N220" s="2"/>
      <c r="O220" s="2"/>
      <c r="P220" s="2"/>
      <c r="Q220" s="59"/>
      <c r="R220" s="2"/>
    </row>
    <row r="221" spans="1:18" s="1" customFormat="1" ht="20.100000000000001" customHeight="1" x14ac:dyDescent="0.25">
      <c r="A221" s="68"/>
      <c r="F221" s="68"/>
      <c r="G221" s="2"/>
      <c r="H221" s="2"/>
      <c r="I221" s="72"/>
      <c r="J221" s="59"/>
      <c r="L221" s="68"/>
      <c r="N221" s="2"/>
      <c r="O221" s="2"/>
      <c r="P221" s="2"/>
      <c r="Q221" s="59"/>
      <c r="R221" s="2"/>
    </row>
    <row r="222" spans="1:18" s="1" customFormat="1" ht="20.100000000000001" customHeight="1" x14ac:dyDescent="0.25">
      <c r="A222" s="68"/>
      <c r="F222" s="68"/>
      <c r="G222" s="2"/>
      <c r="H222" s="2"/>
      <c r="I222" s="72"/>
      <c r="J222" s="59"/>
      <c r="L222" s="68"/>
      <c r="N222" s="2"/>
      <c r="O222" s="2"/>
      <c r="P222" s="2"/>
      <c r="Q222" s="59"/>
      <c r="R222" s="2"/>
    </row>
    <row r="223" spans="1:18" s="1" customFormat="1" ht="20.100000000000001" customHeight="1" x14ac:dyDescent="0.25">
      <c r="A223" s="68"/>
      <c r="F223" s="68"/>
      <c r="G223" s="2"/>
      <c r="H223" s="2"/>
      <c r="I223" s="72"/>
      <c r="J223" s="59"/>
      <c r="L223" s="68"/>
      <c r="N223" s="2"/>
      <c r="O223" s="2"/>
      <c r="P223" s="2"/>
      <c r="Q223" s="59"/>
      <c r="R223" s="2"/>
    </row>
    <row r="224" spans="1:18" s="1" customFormat="1" ht="20.100000000000001" customHeight="1" x14ac:dyDescent="0.25">
      <c r="A224" s="68"/>
      <c r="F224" s="68"/>
      <c r="G224" s="2"/>
      <c r="H224" s="2"/>
      <c r="I224" s="72"/>
      <c r="J224" s="59"/>
      <c r="L224" s="68"/>
      <c r="N224" s="2"/>
      <c r="O224" s="2"/>
      <c r="P224" s="2"/>
      <c r="Q224" s="59"/>
      <c r="R224" s="2"/>
    </row>
    <row r="225" spans="1:18" s="1" customFormat="1" ht="20.100000000000001" customHeight="1" x14ac:dyDescent="0.25">
      <c r="A225" s="68"/>
      <c r="F225" s="68"/>
      <c r="G225" s="2"/>
      <c r="H225" s="2"/>
      <c r="I225" s="72"/>
      <c r="J225" s="59"/>
      <c r="L225" s="68"/>
      <c r="N225" s="2"/>
      <c r="O225" s="2"/>
      <c r="P225" s="2"/>
      <c r="Q225" s="59"/>
      <c r="R225" s="2"/>
    </row>
    <row r="226" spans="1:18" s="1" customFormat="1" ht="20.100000000000001" customHeight="1" x14ac:dyDescent="0.25">
      <c r="A226" s="68"/>
      <c r="F226" s="68"/>
      <c r="G226" s="2"/>
      <c r="H226" s="2"/>
      <c r="I226" s="72"/>
      <c r="J226" s="59"/>
      <c r="L226" s="68"/>
      <c r="N226" s="2"/>
      <c r="O226" s="2"/>
      <c r="P226" s="2"/>
      <c r="Q226" s="59"/>
      <c r="R226" s="2"/>
    </row>
    <row r="227" spans="1:18" s="1" customFormat="1" ht="20.100000000000001" customHeight="1" x14ac:dyDescent="0.25">
      <c r="A227" s="68"/>
      <c r="F227" s="68"/>
      <c r="G227" s="2"/>
      <c r="H227" s="2"/>
      <c r="I227" s="72"/>
      <c r="J227" s="59"/>
      <c r="L227" s="68"/>
      <c r="N227" s="2"/>
      <c r="O227" s="2"/>
      <c r="P227" s="2"/>
      <c r="Q227" s="59"/>
      <c r="R227" s="2"/>
    </row>
    <row r="228" spans="1:18" s="1" customFormat="1" ht="20.100000000000001" customHeight="1" x14ac:dyDescent="0.25">
      <c r="A228" s="68"/>
      <c r="F228" s="68"/>
      <c r="G228" s="2"/>
      <c r="H228" s="2"/>
      <c r="I228" s="72"/>
      <c r="J228" s="59"/>
      <c r="L228" s="68"/>
      <c r="N228" s="2"/>
      <c r="O228" s="2"/>
      <c r="P228" s="2"/>
      <c r="Q228" s="59"/>
      <c r="R228" s="2"/>
    </row>
    <row r="229" spans="1:18" s="1" customFormat="1" ht="20.100000000000001" customHeight="1" x14ac:dyDescent="0.25">
      <c r="A229" s="68"/>
      <c r="F229" s="68"/>
      <c r="G229" s="2"/>
      <c r="H229" s="2"/>
      <c r="I229" s="72"/>
      <c r="J229" s="59"/>
      <c r="L229" s="68"/>
      <c r="N229" s="2"/>
      <c r="O229" s="2"/>
      <c r="P229" s="2"/>
      <c r="Q229" s="59"/>
      <c r="R229" s="2"/>
    </row>
    <row r="230" spans="1:18" s="1" customFormat="1" ht="20.100000000000001" customHeight="1" x14ac:dyDescent="0.25">
      <c r="A230" s="68"/>
      <c r="F230" s="68"/>
      <c r="G230" s="2"/>
      <c r="H230" s="2"/>
      <c r="I230" s="72"/>
      <c r="J230" s="59"/>
      <c r="L230" s="68"/>
      <c r="N230" s="2"/>
      <c r="O230" s="2"/>
      <c r="P230" s="2"/>
      <c r="Q230" s="59"/>
      <c r="R230" s="2"/>
    </row>
    <row r="231" spans="1:18" s="1" customFormat="1" ht="20.100000000000001" customHeight="1" x14ac:dyDescent="0.25">
      <c r="A231" s="68"/>
      <c r="F231" s="68"/>
      <c r="G231" s="2"/>
      <c r="H231" s="2"/>
      <c r="I231" s="72"/>
      <c r="J231" s="59"/>
      <c r="L231" s="68"/>
      <c r="N231" s="2"/>
      <c r="O231" s="2"/>
      <c r="P231" s="2"/>
      <c r="Q231" s="59"/>
      <c r="R231" s="2"/>
    </row>
    <row r="232" spans="1:18" s="1" customFormat="1" ht="20.100000000000001" customHeight="1" x14ac:dyDescent="0.25">
      <c r="A232" s="68"/>
      <c r="F232" s="68"/>
      <c r="G232" s="2"/>
      <c r="H232" s="2"/>
      <c r="I232" s="72"/>
      <c r="J232" s="59"/>
      <c r="L232" s="68"/>
      <c r="N232" s="2"/>
      <c r="O232" s="2"/>
      <c r="P232" s="2"/>
      <c r="Q232" s="59"/>
      <c r="R232" s="2"/>
    </row>
    <row r="233" spans="1:18" s="1" customFormat="1" ht="20.100000000000001" customHeight="1" x14ac:dyDescent="0.25">
      <c r="A233" s="68"/>
      <c r="F233" s="68"/>
      <c r="G233" s="2"/>
      <c r="H233" s="2"/>
      <c r="I233" s="72"/>
      <c r="J233" s="59"/>
      <c r="L233" s="68"/>
      <c r="N233" s="2"/>
      <c r="O233" s="2"/>
      <c r="P233" s="2"/>
      <c r="Q233" s="59"/>
      <c r="R233" s="2"/>
    </row>
    <row r="234" spans="1:18" s="1" customFormat="1" ht="20.100000000000001" customHeight="1" x14ac:dyDescent="0.25">
      <c r="A234" s="68"/>
      <c r="F234" s="68"/>
      <c r="G234" s="2"/>
      <c r="H234" s="2"/>
      <c r="I234" s="72"/>
      <c r="J234" s="59"/>
      <c r="L234" s="68"/>
      <c r="N234" s="2"/>
      <c r="O234" s="2"/>
      <c r="P234" s="2"/>
      <c r="Q234" s="59"/>
      <c r="R234" s="2"/>
    </row>
    <row r="235" spans="1:18" s="1" customFormat="1" ht="20.100000000000001" customHeight="1" x14ac:dyDescent="0.25">
      <c r="A235" s="68"/>
      <c r="F235" s="68"/>
      <c r="G235" s="2"/>
      <c r="H235" s="2"/>
      <c r="I235" s="72"/>
      <c r="J235" s="59"/>
      <c r="L235" s="68"/>
      <c r="N235" s="2"/>
      <c r="O235" s="2"/>
      <c r="P235" s="2"/>
      <c r="Q235" s="59"/>
      <c r="R235" s="2"/>
    </row>
    <row r="236" spans="1:18" s="1" customFormat="1" ht="20.100000000000001" customHeight="1" x14ac:dyDescent="0.25">
      <c r="A236" s="68"/>
      <c r="F236" s="68"/>
      <c r="G236" s="2"/>
      <c r="H236" s="2"/>
      <c r="I236" s="72"/>
      <c r="J236" s="59"/>
      <c r="L236" s="68"/>
      <c r="N236" s="2"/>
      <c r="O236" s="2"/>
      <c r="P236" s="2"/>
      <c r="Q236" s="59"/>
      <c r="R236" s="2"/>
    </row>
    <row r="237" spans="1:18" s="1" customFormat="1" ht="20.100000000000001" customHeight="1" x14ac:dyDescent="0.25">
      <c r="A237" s="68"/>
      <c r="F237" s="68"/>
      <c r="G237" s="2"/>
      <c r="H237" s="2"/>
      <c r="I237" s="72"/>
      <c r="J237" s="59"/>
      <c r="L237" s="68"/>
      <c r="N237" s="2"/>
      <c r="O237" s="2"/>
      <c r="P237" s="2"/>
      <c r="Q237" s="59"/>
      <c r="R237" s="2"/>
    </row>
    <row r="238" spans="1:18" s="1" customFormat="1" ht="20.100000000000001" customHeight="1" x14ac:dyDescent="0.25">
      <c r="A238" s="68"/>
      <c r="F238" s="68"/>
      <c r="G238" s="2"/>
      <c r="H238" s="2"/>
      <c r="I238" s="72"/>
      <c r="J238" s="59"/>
      <c r="L238" s="68"/>
      <c r="N238" s="2"/>
      <c r="O238" s="2"/>
      <c r="P238" s="2"/>
      <c r="Q238" s="59"/>
      <c r="R238" s="2"/>
    </row>
    <row r="239" spans="1:18" s="1" customFormat="1" ht="20.100000000000001" customHeight="1" x14ac:dyDescent="0.25">
      <c r="A239" s="68"/>
      <c r="F239" s="68"/>
      <c r="G239" s="2"/>
      <c r="H239" s="2"/>
      <c r="I239" s="72"/>
      <c r="J239" s="59"/>
      <c r="L239" s="68"/>
      <c r="N239" s="2"/>
      <c r="O239" s="2"/>
      <c r="P239" s="2"/>
      <c r="Q239" s="59"/>
      <c r="R239" s="2"/>
    </row>
    <row r="240" spans="1:18" s="1" customFormat="1" ht="20.100000000000001" customHeight="1" x14ac:dyDescent="0.25">
      <c r="A240" s="68"/>
      <c r="F240" s="68"/>
      <c r="G240" s="2"/>
      <c r="H240" s="2"/>
      <c r="I240" s="72"/>
      <c r="J240" s="59"/>
      <c r="L240" s="68"/>
      <c r="N240" s="2"/>
      <c r="O240" s="2"/>
      <c r="P240" s="2"/>
      <c r="Q240" s="59"/>
      <c r="R240" s="2"/>
    </row>
    <row r="241" spans="1:18" s="1" customFormat="1" ht="20.100000000000001" customHeight="1" x14ac:dyDescent="0.25">
      <c r="A241" s="68"/>
      <c r="F241" s="68"/>
      <c r="G241" s="2"/>
      <c r="H241" s="2"/>
      <c r="I241" s="72"/>
      <c r="J241" s="59"/>
      <c r="L241" s="68"/>
      <c r="N241" s="2"/>
      <c r="O241" s="2"/>
      <c r="P241" s="2"/>
      <c r="Q241" s="59"/>
      <c r="R241" s="2"/>
    </row>
    <row r="242" spans="1:18" s="1" customFormat="1" ht="20.100000000000001" customHeight="1" x14ac:dyDescent="0.25">
      <c r="A242" s="68"/>
      <c r="F242" s="68"/>
      <c r="G242" s="2"/>
      <c r="H242" s="2"/>
      <c r="I242" s="72"/>
      <c r="J242" s="59"/>
      <c r="L242" s="68"/>
      <c r="N242" s="2"/>
      <c r="O242" s="2"/>
      <c r="P242" s="2"/>
      <c r="Q242" s="59"/>
      <c r="R242" s="2"/>
    </row>
    <row r="243" spans="1:18" s="1" customFormat="1" ht="20.100000000000001" customHeight="1" x14ac:dyDescent="0.25">
      <c r="A243" s="68"/>
      <c r="F243" s="68"/>
      <c r="G243" s="2"/>
      <c r="H243" s="2"/>
      <c r="I243" s="72"/>
      <c r="J243" s="59"/>
      <c r="L243" s="68"/>
      <c r="N243" s="2"/>
      <c r="O243" s="2"/>
      <c r="P243" s="2"/>
      <c r="Q243" s="59"/>
      <c r="R243" s="2"/>
    </row>
    <row r="244" spans="1:18" s="1" customFormat="1" ht="20.100000000000001" customHeight="1" x14ac:dyDescent="0.25">
      <c r="A244" s="68"/>
      <c r="F244" s="68"/>
      <c r="G244" s="2"/>
      <c r="H244" s="2"/>
      <c r="I244" s="72"/>
      <c r="J244" s="59"/>
      <c r="L244" s="68"/>
      <c r="N244" s="2"/>
      <c r="O244" s="2"/>
      <c r="P244" s="2"/>
      <c r="Q244" s="59"/>
      <c r="R244" s="2"/>
    </row>
    <row r="245" spans="1:18" s="1" customFormat="1" ht="20.100000000000001" customHeight="1" x14ac:dyDescent="0.25">
      <c r="A245" s="68"/>
      <c r="F245" s="68"/>
      <c r="G245" s="2"/>
      <c r="H245" s="2"/>
      <c r="I245" s="72"/>
      <c r="J245" s="59"/>
      <c r="L245" s="68"/>
      <c r="N245" s="2"/>
      <c r="O245" s="2"/>
      <c r="P245" s="2"/>
      <c r="Q245" s="59"/>
      <c r="R245" s="2"/>
    </row>
    <row r="246" spans="1:18" s="1" customFormat="1" ht="20.100000000000001" customHeight="1" x14ac:dyDescent="0.25">
      <c r="A246" s="68"/>
      <c r="F246" s="68"/>
      <c r="G246" s="2"/>
      <c r="H246" s="2"/>
      <c r="I246" s="72"/>
      <c r="J246" s="59"/>
      <c r="L246" s="68"/>
      <c r="N246" s="2"/>
      <c r="O246" s="2"/>
      <c r="P246" s="2"/>
      <c r="Q246" s="59"/>
      <c r="R246" s="2"/>
    </row>
    <row r="247" spans="1:18" s="1" customFormat="1" ht="20.100000000000001" customHeight="1" x14ac:dyDescent="0.25">
      <c r="A247" s="68"/>
      <c r="F247" s="68"/>
      <c r="G247" s="2"/>
      <c r="H247" s="2"/>
      <c r="I247" s="72"/>
      <c r="J247" s="59"/>
      <c r="L247" s="68"/>
      <c r="N247" s="2"/>
      <c r="O247" s="2"/>
      <c r="P247" s="2"/>
      <c r="Q247" s="59"/>
      <c r="R247" s="2"/>
    </row>
    <row r="248" spans="1:18" s="1" customFormat="1" ht="20.100000000000001" customHeight="1" x14ac:dyDescent="0.25">
      <c r="A248" s="68"/>
      <c r="F248" s="68"/>
      <c r="G248" s="2"/>
      <c r="H248" s="2"/>
      <c r="I248" s="72"/>
      <c r="J248" s="59"/>
      <c r="L248" s="68"/>
      <c r="N248" s="2"/>
      <c r="O248" s="2"/>
      <c r="P248" s="2"/>
      <c r="Q248" s="59"/>
      <c r="R248" s="2"/>
    </row>
    <row r="249" spans="1:18" s="1" customFormat="1" ht="20.100000000000001" customHeight="1" x14ac:dyDescent="0.25">
      <c r="A249" s="68"/>
      <c r="F249" s="68"/>
      <c r="G249" s="2"/>
      <c r="H249" s="2"/>
      <c r="I249" s="72"/>
      <c r="J249" s="59"/>
      <c r="L249" s="68"/>
      <c r="N249" s="2"/>
      <c r="O249" s="2"/>
      <c r="P249" s="2"/>
      <c r="Q249" s="59"/>
      <c r="R249" s="2"/>
    </row>
    <row r="250" spans="1:18" s="1" customFormat="1" ht="20.100000000000001" customHeight="1" x14ac:dyDescent="0.25">
      <c r="A250" s="68"/>
      <c r="F250" s="68"/>
      <c r="G250" s="2"/>
      <c r="H250" s="2"/>
      <c r="I250" s="72"/>
      <c r="J250" s="59"/>
      <c r="L250" s="68"/>
      <c r="N250" s="2"/>
      <c r="O250" s="2"/>
      <c r="P250" s="2"/>
      <c r="Q250" s="59"/>
      <c r="R250" s="2"/>
    </row>
    <row r="251" spans="1:18" s="1" customFormat="1" ht="20.100000000000001" customHeight="1" x14ac:dyDescent="0.25">
      <c r="A251" s="68"/>
      <c r="F251" s="68"/>
      <c r="G251" s="2"/>
      <c r="H251" s="2"/>
      <c r="I251" s="72"/>
      <c r="J251" s="59"/>
      <c r="L251" s="68"/>
      <c r="N251" s="2"/>
      <c r="O251" s="2"/>
      <c r="P251" s="2"/>
      <c r="Q251" s="59"/>
      <c r="R251" s="2"/>
    </row>
    <row r="252" spans="1:18" s="1" customFormat="1" ht="20.100000000000001" customHeight="1" x14ac:dyDescent="0.25">
      <c r="A252" s="68"/>
      <c r="F252" s="68"/>
      <c r="G252" s="2"/>
      <c r="H252" s="2"/>
      <c r="I252" s="72"/>
      <c r="J252" s="59"/>
      <c r="L252" s="68"/>
      <c r="N252" s="2"/>
      <c r="O252" s="2"/>
      <c r="P252" s="2"/>
      <c r="Q252" s="59"/>
      <c r="R252" s="2"/>
    </row>
    <row r="253" spans="1:18" s="1" customFormat="1" ht="20.100000000000001" customHeight="1" x14ac:dyDescent="0.25">
      <c r="A253" s="68"/>
      <c r="F253" s="68"/>
      <c r="G253" s="2"/>
      <c r="H253" s="2"/>
      <c r="I253" s="72"/>
      <c r="J253" s="59"/>
      <c r="L253" s="68"/>
      <c r="N253" s="2"/>
      <c r="O253" s="2"/>
      <c r="P253" s="2"/>
      <c r="Q253" s="59"/>
      <c r="R253" s="2"/>
    </row>
    <row r="254" spans="1:18" s="1" customFormat="1" ht="20.100000000000001" customHeight="1" x14ac:dyDescent="0.25">
      <c r="A254" s="68"/>
      <c r="F254" s="68"/>
      <c r="G254" s="2"/>
      <c r="H254" s="2"/>
      <c r="I254" s="72"/>
      <c r="J254" s="59"/>
      <c r="L254" s="68"/>
      <c r="N254" s="2"/>
      <c r="O254" s="2"/>
      <c r="P254" s="2"/>
      <c r="Q254" s="59"/>
      <c r="R254" s="2"/>
    </row>
    <row r="255" spans="1:18" s="1" customFormat="1" ht="20.100000000000001" customHeight="1" x14ac:dyDescent="0.25">
      <c r="A255" s="68"/>
      <c r="F255" s="68"/>
      <c r="G255" s="2"/>
      <c r="H255" s="2"/>
      <c r="I255" s="72"/>
      <c r="J255" s="59"/>
      <c r="L255" s="68"/>
      <c r="N255" s="2"/>
      <c r="O255" s="2"/>
      <c r="P255" s="2"/>
      <c r="Q255" s="59"/>
      <c r="R255" s="2"/>
    </row>
    <row r="256" spans="1:18" s="1" customFormat="1" ht="20.100000000000001" customHeight="1" x14ac:dyDescent="0.25">
      <c r="A256" s="68"/>
      <c r="F256" s="68"/>
      <c r="G256" s="2"/>
      <c r="H256" s="2"/>
      <c r="I256" s="72"/>
      <c r="J256" s="59"/>
      <c r="L256" s="68"/>
      <c r="N256" s="2"/>
      <c r="O256" s="2"/>
      <c r="P256" s="2"/>
      <c r="Q256" s="59"/>
      <c r="R256" s="2"/>
    </row>
    <row r="257" spans="1:18" s="1" customFormat="1" ht="20.100000000000001" customHeight="1" x14ac:dyDescent="0.25">
      <c r="A257" s="68"/>
      <c r="F257" s="68"/>
      <c r="G257" s="2"/>
      <c r="H257" s="2"/>
      <c r="I257" s="72"/>
      <c r="J257" s="59"/>
      <c r="L257" s="68"/>
      <c r="N257" s="2"/>
      <c r="O257" s="2"/>
      <c r="P257" s="2"/>
      <c r="Q257" s="59"/>
      <c r="R257" s="2"/>
    </row>
    <row r="258" spans="1:18" s="1" customFormat="1" ht="20.100000000000001" customHeight="1" x14ac:dyDescent="0.25">
      <c r="A258" s="68"/>
      <c r="F258" s="68"/>
      <c r="G258" s="2"/>
      <c r="H258" s="2"/>
      <c r="I258" s="72"/>
      <c r="J258" s="59"/>
      <c r="L258" s="68"/>
      <c r="N258" s="2"/>
      <c r="O258" s="2"/>
      <c r="P258" s="2"/>
      <c r="Q258" s="59"/>
      <c r="R258" s="2"/>
    </row>
    <row r="259" spans="1:18" s="1" customFormat="1" ht="20.100000000000001" customHeight="1" x14ac:dyDescent="0.25">
      <c r="A259" s="68"/>
      <c r="F259" s="68"/>
      <c r="G259" s="2"/>
      <c r="H259" s="2"/>
      <c r="I259" s="72"/>
      <c r="J259" s="59"/>
      <c r="L259" s="68"/>
      <c r="N259" s="2"/>
      <c r="O259" s="2"/>
      <c r="P259" s="2"/>
      <c r="Q259" s="59"/>
      <c r="R259" s="2"/>
    </row>
    <row r="260" spans="1:18" s="1" customFormat="1" ht="20.100000000000001" customHeight="1" x14ac:dyDescent="0.25">
      <c r="A260" s="68"/>
      <c r="F260" s="68"/>
      <c r="G260" s="2"/>
      <c r="H260" s="2"/>
      <c r="I260" s="72"/>
      <c r="J260" s="59"/>
      <c r="L260" s="68"/>
      <c r="N260" s="2"/>
      <c r="O260" s="2"/>
      <c r="P260" s="2"/>
      <c r="Q260" s="59"/>
      <c r="R260" s="2"/>
    </row>
    <row r="261" spans="1:18" s="1" customFormat="1" ht="20.100000000000001" customHeight="1" x14ac:dyDescent="0.25">
      <c r="A261" s="68"/>
      <c r="F261" s="68"/>
      <c r="G261" s="2"/>
      <c r="H261" s="2"/>
      <c r="I261" s="72"/>
      <c r="J261" s="59"/>
      <c r="L261" s="68"/>
      <c r="N261" s="2"/>
      <c r="O261" s="2"/>
      <c r="P261" s="2"/>
      <c r="Q261" s="59"/>
      <c r="R261" s="2"/>
    </row>
    <row r="262" spans="1:18" s="1" customFormat="1" ht="20.100000000000001" customHeight="1" x14ac:dyDescent="0.25">
      <c r="A262" s="68"/>
      <c r="F262" s="68"/>
      <c r="G262" s="2"/>
      <c r="H262" s="2"/>
      <c r="I262" s="72"/>
      <c r="J262" s="59"/>
      <c r="L262" s="68"/>
      <c r="N262" s="2"/>
      <c r="O262" s="2"/>
      <c r="P262" s="2"/>
      <c r="Q262" s="59"/>
      <c r="R262" s="2"/>
    </row>
    <row r="263" spans="1:18" s="1" customFormat="1" ht="20.100000000000001" customHeight="1" x14ac:dyDescent="0.25">
      <c r="A263" s="68"/>
      <c r="F263" s="68"/>
      <c r="G263" s="2"/>
      <c r="H263" s="2"/>
      <c r="I263" s="72"/>
      <c r="J263" s="59"/>
      <c r="L263" s="68"/>
      <c r="N263" s="2"/>
      <c r="O263" s="2"/>
      <c r="P263" s="2"/>
      <c r="Q263" s="59"/>
      <c r="R263" s="2"/>
    </row>
    <row r="264" spans="1:18" s="1" customFormat="1" ht="20.100000000000001" customHeight="1" x14ac:dyDescent="0.25">
      <c r="A264" s="68"/>
      <c r="F264" s="68"/>
      <c r="G264" s="2"/>
      <c r="H264" s="2"/>
      <c r="I264" s="72"/>
      <c r="J264" s="59"/>
      <c r="L264" s="68"/>
      <c r="N264" s="2"/>
      <c r="O264" s="2"/>
      <c r="P264" s="2"/>
      <c r="Q264" s="59"/>
      <c r="R264" s="2"/>
    </row>
    <row r="265" spans="1:18" s="1" customFormat="1" ht="20.100000000000001" customHeight="1" x14ac:dyDescent="0.25">
      <c r="A265" s="68"/>
      <c r="F265" s="68"/>
      <c r="G265" s="2"/>
      <c r="H265" s="2"/>
      <c r="I265" s="72"/>
      <c r="J265" s="59"/>
      <c r="L265" s="68"/>
      <c r="N265" s="2"/>
      <c r="O265" s="2"/>
      <c r="P265" s="2"/>
      <c r="Q265" s="59"/>
      <c r="R265" s="2"/>
    </row>
    <row r="266" spans="1:18" s="1" customFormat="1" ht="20.100000000000001" customHeight="1" x14ac:dyDescent="0.25">
      <c r="A266" s="68"/>
      <c r="F266" s="68"/>
      <c r="G266" s="2"/>
      <c r="H266" s="2"/>
      <c r="I266" s="72"/>
      <c r="J266" s="59"/>
      <c r="L266" s="68"/>
      <c r="N266" s="2"/>
      <c r="O266" s="2"/>
      <c r="P266" s="2"/>
      <c r="Q266" s="59"/>
      <c r="R266" s="2"/>
    </row>
    <row r="267" spans="1:18" s="1" customFormat="1" ht="20.100000000000001" customHeight="1" x14ac:dyDescent="0.25">
      <c r="A267" s="68"/>
      <c r="F267" s="68"/>
      <c r="G267" s="2"/>
      <c r="H267" s="2"/>
      <c r="I267" s="72"/>
      <c r="J267" s="59"/>
      <c r="L267" s="68"/>
      <c r="N267" s="2"/>
      <c r="O267" s="2"/>
      <c r="P267" s="2"/>
      <c r="Q267" s="59"/>
      <c r="R267" s="2"/>
    </row>
    <row r="268" spans="1:18" s="1" customFormat="1" ht="20.100000000000001" customHeight="1" x14ac:dyDescent="0.25">
      <c r="A268" s="68"/>
      <c r="F268" s="68"/>
      <c r="G268" s="2"/>
      <c r="H268" s="2"/>
      <c r="I268" s="72"/>
      <c r="J268" s="59"/>
      <c r="L268" s="68"/>
      <c r="N268" s="2"/>
      <c r="O268" s="2"/>
      <c r="P268" s="2"/>
      <c r="Q268" s="59"/>
      <c r="R268" s="2"/>
    </row>
    <row r="269" spans="1:18" s="1" customFormat="1" ht="20.100000000000001" customHeight="1" x14ac:dyDescent="0.25">
      <c r="A269" s="68"/>
      <c r="F269" s="68"/>
      <c r="G269" s="2"/>
      <c r="H269" s="2"/>
      <c r="I269" s="72"/>
      <c r="J269" s="59"/>
      <c r="L269" s="68"/>
      <c r="N269" s="2"/>
      <c r="O269" s="2"/>
      <c r="P269" s="2"/>
      <c r="Q269" s="59"/>
      <c r="R269" s="2"/>
    </row>
    <row r="270" spans="1:18" s="1" customFormat="1" ht="20.100000000000001" customHeight="1" x14ac:dyDescent="0.25">
      <c r="A270" s="68"/>
      <c r="F270" s="68"/>
      <c r="G270" s="2"/>
      <c r="H270" s="2"/>
      <c r="I270" s="72"/>
      <c r="J270" s="59"/>
      <c r="L270" s="68"/>
      <c r="N270" s="2"/>
      <c r="O270" s="2"/>
      <c r="P270" s="2"/>
      <c r="Q270" s="59"/>
      <c r="R270" s="2"/>
    </row>
    <row r="271" spans="1:18" s="1" customFormat="1" ht="20.100000000000001" customHeight="1" x14ac:dyDescent="0.25">
      <c r="A271" s="68"/>
      <c r="F271" s="68"/>
      <c r="G271" s="2"/>
      <c r="H271" s="2"/>
      <c r="I271" s="72"/>
      <c r="J271" s="59"/>
      <c r="L271" s="68"/>
      <c r="N271" s="2"/>
      <c r="O271" s="2"/>
      <c r="P271" s="2"/>
      <c r="Q271" s="59"/>
      <c r="R271" s="2"/>
    </row>
    <row r="272" spans="1:18" s="1" customFormat="1" ht="20.100000000000001" customHeight="1" x14ac:dyDescent="0.25">
      <c r="A272" s="68"/>
      <c r="F272" s="68"/>
      <c r="G272" s="2"/>
      <c r="H272" s="2"/>
      <c r="I272" s="72"/>
      <c r="J272" s="59"/>
      <c r="L272" s="68"/>
      <c r="N272" s="2"/>
      <c r="O272" s="2"/>
      <c r="P272" s="2"/>
      <c r="Q272" s="59"/>
      <c r="R272" s="2"/>
    </row>
    <row r="273" spans="1:18" s="1" customFormat="1" ht="20.100000000000001" customHeight="1" x14ac:dyDescent="0.25">
      <c r="A273" s="68"/>
      <c r="F273" s="68"/>
      <c r="G273" s="2"/>
      <c r="H273" s="2"/>
      <c r="I273" s="72"/>
      <c r="J273" s="59"/>
      <c r="L273" s="68"/>
      <c r="N273" s="2"/>
      <c r="O273" s="2"/>
      <c r="P273" s="2"/>
      <c r="Q273" s="59"/>
      <c r="R273" s="2"/>
    </row>
    <row r="274" spans="1:18" s="1" customFormat="1" ht="20.100000000000001" customHeight="1" x14ac:dyDescent="0.25">
      <c r="A274" s="68"/>
      <c r="F274" s="68"/>
      <c r="G274" s="2"/>
      <c r="H274" s="2"/>
      <c r="I274" s="72"/>
      <c r="J274" s="59"/>
      <c r="L274" s="68"/>
      <c r="N274" s="2"/>
      <c r="O274" s="2"/>
      <c r="P274" s="2"/>
      <c r="Q274" s="59"/>
      <c r="R274" s="2"/>
    </row>
    <row r="275" spans="1:18" s="1" customFormat="1" ht="20.100000000000001" customHeight="1" x14ac:dyDescent="0.25">
      <c r="A275" s="68"/>
      <c r="F275" s="68"/>
      <c r="G275" s="2"/>
      <c r="H275" s="2"/>
      <c r="I275" s="72"/>
      <c r="J275" s="59"/>
      <c r="L275" s="68"/>
      <c r="N275" s="2"/>
      <c r="O275" s="2"/>
      <c r="P275" s="2"/>
      <c r="Q275" s="59"/>
      <c r="R275" s="2"/>
    </row>
    <row r="276" spans="1:18" s="1" customFormat="1" ht="20.100000000000001" customHeight="1" x14ac:dyDescent="0.25">
      <c r="A276" s="68"/>
      <c r="F276" s="68"/>
      <c r="G276" s="2"/>
      <c r="H276" s="2"/>
      <c r="I276" s="72"/>
      <c r="J276" s="59"/>
      <c r="L276" s="68"/>
      <c r="N276" s="2"/>
      <c r="O276" s="2"/>
      <c r="P276" s="2"/>
      <c r="Q276" s="59"/>
      <c r="R276" s="2"/>
    </row>
    <row r="277" spans="1:18" s="1" customFormat="1" ht="20.100000000000001" customHeight="1" x14ac:dyDescent="0.25">
      <c r="A277" s="68"/>
      <c r="F277" s="68"/>
      <c r="G277" s="2"/>
      <c r="H277" s="2"/>
      <c r="I277" s="72"/>
      <c r="J277" s="59"/>
      <c r="L277" s="68"/>
      <c r="N277" s="2"/>
      <c r="O277" s="2"/>
      <c r="P277" s="2"/>
      <c r="Q277" s="59"/>
      <c r="R277" s="2"/>
    </row>
    <row r="278" spans="1:18" s="1" customFormat="1" ht="20.100000000000001" customHeight="1" x14ac:dyDescent="0.25">
      <c r="A278" s="68"/>
      <c r="F278" s="68"/>
      <c r="G278" s="2"/>
      <c r="H278" s="2"/>
      <c r="I278" s="72"/>
      <c r="J278" s="59"/>
      <c r="L278" s="68"/>
      <c r="N278" s="2"/>
      <c r="O278" s="2"/>
      <c r="P278" s="2"/>
      <c r="Q278" s="59"/>
      <c r="R278" s="2"/>
    </row>
    <row r="279" spans="1:18" s="1" customFormat="1" ht="20.100000000000001" customHeight="1" x14ac:dyDescent="0.25">
      <c r="A279" s="68"/>
      <c r="F279" s="68"/>
      <c r="G279" s="2"/>
      <c r="H279" s="2"/>
      <c r="I279" s="72"/>
      <c r="J279" s="59"/>
      <c r="L279" s="68"/>
      <c r="N279" s="2"/>
      <c r="O279" s="2"/>
      <c r="P279" s="2"/>
      <c r="Q279" s="59"/>
      <c r="R279" s="2"/>
    </row>
    <row r="280" spans="1:18" s="1" customFormat="1" ht="20.100000000000001" customHeight="1" x14ac:dyDescent="0.25">
      <c r="A280" s="68"/>
      <c r="F280" s="68"/>
      <c r="G280" s="2"/>
      <c r="H280" s="2"/>
      <c r="I280" s="72"/>
      <c r="J280" s="59"/>
      <c r="L280" s="68"/>
      <c r="N280" s="2"/>
      <c r="O280" s="2"/>
      <c r="P280" s="2"/>
      <c r="Q280" s="59"/>
      <c r="R280" s="2"/>
    </row>
    <row r="281" spans="1:18" s="1" customFormat="1" ht="20.100000000000001" customHeight="1" x14ac:dyDescent="0.25">
      <c r="A281" s="68"/>
      <c r="F281" s="68"/>
      <c r="G281" s="2"/>
      <c r="H281" s="2"/>
      <c r="I281" s="72"/>
      <c r="J281" s="59"/>
      <c r="L281" s="68"/>
      <c r="N281" s="2"/>
      <c r="O281" s="2"/>
      <c r="P281" s="2"/>
      <c r="Q281" s="59"/>
      <c r="R281" s="2"/>
    </row>
    <row r="282" spans="1:18" s="1" customFormat="1" ht="20.100000000000001" customHeight="1" x14ac:dyDescent="0.25">
      <c r="A282" s="68"/>
      <c r="F282" s="68"/>
      <c r="G282" s="2"/>
      <c r="H282" s="2"/>
      <c r="I282" s="72"/>
      <c r="J282" s="59"/>
      <c r="L282" s="68"/>
      <c r="N282" s="2"/>
      <c r="O282" s="2"/>
      <c r="P282" s="2"/>
      <c r="Q282" s="59"/>
      <c r="R282" s="2"/>
    </row>
    <row r="283" spans="1:18" s="1" customFormat="1" ht="20.100000000000001" customHeight="1" x14ac:dyDescent="0.25">
      <c r="A283" s="68"/>
      <c r="F283" s="68"/>
      <c r="G283" s="2"/>
      <c r="H283" s="2"/>
      <c r="I283" s="72"/>
      <c r="J283" s="59"/>
      <c r="L283" s="68"/>
      <c r="N283" s="2"/>
      <c r="O283" s="2"/>
      <c r="P283" s="2"/>
      <c r="Q283" s="59"/>
      <c r="R283" s="2"/>
    </row>
    <row r="284" spans="1:18" s="1" customFormat="1" ht="20.100000000000001" customHeight="1" x14ac:dyDescent="0.25">
      <c r="A284" s="68"/>
      <c r="F284" s="68"/>
      <c r="G284" s="2"/>
      <c r="H284" s="2"/>
      <c r="I284" s="72"/>
      <c r="J284" s="59"/>
      <c r="L284" s="68"/>
      <c r="N284" s="2"/>
      <c r="O284" s="2"/>
      <c r="P284" s="2"/>
      <c r="Q284" s="59"/>
      <c r="R284" s="2"/>
    </row>
    <row r="285" spans="1:18" s="1" customFormat="1" ht="20.100000000000001" customHeight="1" x14ac:dyDescent="0.25">
      <c r="A285" s="68"/>
      <c r="F285" s="68"/>
      <c r="G285" s="2"/>
      <c r="H285" s="2"/>
      <c r="I285" s="72"/>
      <c r="J285" s="59"/>
      <c r="L285" s="68"/>
      <c r="N285" s="2"/>
      <c r="O285" s="2"/>
      <c r="P285" s="2"/>
      <c r="Q285" s="59"/>
      <c r="R285" s="2"/>
    </row>
    <row r="286" spans="1:18" s="1" customFormat="1" ht="20.100000000000001" customHeight="1" x14ac:dyDescent="0.25">
      <c r="A286" s="68"/>
      <c r="F286" s="68"/>
      <c r="G286" s="2"/>
      <c r="H286" s="2"/>
      <c r="I286" s="72"/>
      <c r="J286" s="59"/>
      <c r="L286" s="68"/>
      <c r="N286" s="2"/>
      <c r="O286" s="2"/>
      <c r="P286" s="2"/>
      <c r="Q286" s="59"/>
      <c r="R286" s="2"/>
    </row>
    <row r="287" spans="1:18" s="1" customFormat="1" ht="20.100000000000001" customHeight="1" x14ac:dyDescent="0.25">
      <c r="A287" s="68"/>
      <c r="F287" s="68"/>
      <c r="G287" s="2"/>
      <c r="H287" s="2"/>
      <c r="I287" s="72"/>
      <c r="J287" s="59"/>
      <c r="L287" s="68"/>
      <c r="N287" s="2"/>
      <c r="O287" s="2"/>
      <c r="P287" s="2"/>
      <c r="Q287" s="59"/>
      <c r="R287" s="2"/>
    </row>
    <row r="288" spans="1:18" s="1" customFormat="1" ht="20.100000000000001" customHeight="1" x14ac:dyDescent="0.25">
      <c r="A288" s="68"/>
      <c r="F288" s="68"/>
      <c r="G288" s="2"/>
      <c r="H288" s="2"/>
      <c r="I288" s="72"/>
      <c r="J288" s="59"/>
      <c r="L288" s="68"/>
      <c r="N288" s="2"/>
      <c r="O288" s="2"/>
      <c r="P288" s="2"/>
      <c r="Q288" s="59"/>
      <c r="R288" s="2"/>
    </row>
    <row r="289" spans="1:18" s="1" customFormat="1" ht="20.100000000000001" customHeight="1" x14ac:dyDescent="0.25">
      <c r="A289" s="68"/>
      <c r="F289" s="68"/>
      <c r="G289" s="2"/>
      <c r="H289" s="2"/>
      <c r="I289" s="72"/>
      <c r="J289" s="59"/>
      <c r="L289" s="68"/>
      <c r="N289" s="2"/>
      <c r="O289" s="2"/>
      <c r="P289" s="2"/>
      <c r="Q289" s="59"/>
      <c r="R289" s="2"/>
    </row>
    <row r="290" spans="1:18" s="1" customFormat="1" ht="20.100000000000001" customHeight="1" x14ac:dyDescent="0.25">
      <c r="A290" s="68"/>
      <c r="F290" s="68"/>
      <c r="G290" s="2"/>
      <c r="H290" s="2"/>
      <c r="I290" s="72"/>
      <c r="J290" s="59"/>
      <c r="L290" s="68"/>
      <c r="N290" s="2"/>
      <c r="O290" s="2"/>
      <c r="P290" s="2"/>
      <c r="Q290" s="59"/>
      <c r="R290" s="2"/>
    </row>
    <row r="291" spans="1:18" s="1" customFormat="1" ht="20.100000000000001" customHeight="1" x14ac:dyDescent="0.25">
      <c r="A291" s="68"/>
      <c r="F291" s="68"/>
      <c r="G291" s="2"/>
      <c r="H291" s="2"/>
      <c r="I291" s="72"/>
      <c r="J291" s="59"/>
      <c r="L291" s="68"/>
      <c r="N291" s="2"/>
      <c r="O291" s="2"/>
      <c r="P291" s="2"/>
      <c r="Q291" s="59"/>
      <c r="R291" s="2"/>
    </row>
    <row r="292" spans="1:18" s="1" customFormat="1" ht="20.100000000000001" customHeight="1" x14ac:dyDescent="0.25">
      <c r="A292" s="68"/>
      <c r="F292" s="68"/>
      <c r="G292" s="2"/>
      <c r="H292" s="2"/>
      <c r="I292" s="72"/>
      <c r="J292" s="59"/>
      <c r="L292" s="68"/>
      <c r="N292" s="2"/>
      <c r="O292" s="2"/>
      <c r="P292" s="2"/>
      <c r="Q292" s="59"/>
      <c r="R292" s="2"/>
    </row>
    <row r="293" spans="1:18" s="1" customFormat="1" ht="20.100000000000001" customHeight="1" x14ac:dyDescent="0.25">
      <c r="A293" s="68"/>
      <c r="F293" s="68"/>
      <c r="G293" s="2"/>
      <c r="H293" s="2"/>
      <c r="I293" s="72"/>
      <c r="J293" s="59"/>
      <c r="L293" s="68"/>
      <c r="N293" s="2"/>
      <c r="O293" s="2"/>
      <c r="P293" s="2"/>
      <c r="Q293" s="59"/>
      <c r="R293" s="2"/>
    </row>
    <row r="294" spans="1:18" s="1" customFormat="1" ht="20.100000000000001" customHeight="1" x14ac:dyDescent="0.25">
      <c r="A294" s="68"/>
      <c r="F294" s="68"/>
      <c r="G294" s="2"/>
      <c r="H294" s="2"/>
      <c r="I294" s="72"/>
      <c r="J294" s="59"/>
      <c r="L294" s="68"/>
      <c r="N294" s="2"/>
      <c r="O294" s="2"/>
      <c r="P294" s="2"/>
      <c r="Q294" s="59"/>
      <c r="R294" s="2"/>
    </row>
    <row r="295" spans="1:18" s="1" customFormat="1" ht="20.100000000000001" customHeight="1" x14ac:dyDescent="0.25">
      <c r="A295" s="68"/>
      <c r="F295" s="68"/>
      <c r="G295" s="2"/>
      <c r="H295" s="2"/>
      <c r="I295" s="72"/>
      <c r="J295" s="59"/>
      <c r="L295" s="68"/>
      <c r="N295" s="2"/>
      <c r="O295" s="2"/>
      <c r="P295" s="2"/>
      <c r="Q295" s="59"/>
      <c r="R295" s="2"/>
    </row>
    <row r="296" spans="1:18" s="1" customFormat="1" ht="20.100000000000001" customHeight="1" x14ac:dyDescent="0.25">
      <c r="A296" s="68"/>
      <c r="F296" s="68"/>
      <c r="G296" s="2"/>
      <c r="H296" s="2"/>
      <c r="I296" s="72"/>
      <c r="J296" s="59"/>
      <c r="L296" s="68"/>
      <c r="N296" s="2"/>
      <c r="O296" s="2"/>
      <c r="P296" s="2"/>
      <c r="Q296" s="59"/>
      <c r="R296" s="2"/>
    </row>
    <row r="297" spans="1:18" s="1" customFormat="1" ht="20.100000000000001" customHeight="1" x14ac:dyDescent="0.25">
      <c r="A297" s="68"/>
      <c r="F297" s="68"/>
      <c r="G297" s="2"/>
      <c r="H297" s="2"/>
      <c r="I297" s="72"/>
      <c r="J297" s="59"/>
      <c r="L297" s="68"/>
      <c r="N297" s="2"/>
      <c r="O297" s="2"/>
      <c r="P297" s="2"/>
      <c r="Q297" s="59"/>
      <c r="R297" s="2"/>
    </row>
    <row r="298" spans="1:18" s="1" customFormat="1" ht="20.100000000000001" customHeight="1" x14ac:dyDescent="0.25">
      <c r="A298" s="68"/>
      <c r="F298" s="68"/>
      <c r="G298" s="2"/>
      <c r="H298" s="2"/>
      <c r="I298" s="72"/>
      <c r="J298" s="59"/>
      <c r="L298" s="68"/>
      <c r="N298" s="2"/>
      <c r="O298" s="2"/>
      <c r="P298" s="2"/>
      <c r="Q298" s="59"/>
      <c r="R298" s="2"/>
    </row>
    <row r="299" spans="1:18" s="1" customFormat="1" ht="20.100000000000001" customHeight="1" x14ac:dyDescent="0.25">
      <c r="A299" s="68"/>
      <c r="F299" s="68"/>
      <c r="G299" s="2"/>
      <c r="H299" s="2"/>
      <c r="I299" s="72"/>
      <c r="J299" s="59"/>
      <c r="L299" s="68"/>
      <c r="N299" s="2"/>
      <c r="O299" s="2"/>
      <c r="P299" s="2"/>
      <c r="Q299" s="59"/>
      <c r="R299" s="2"/>
    </row>
    <row r="300" spans="1:18" s="1" customFormat="1" ht="20.100000000000001" customHeight="1" x14ac:dyDescent="0.25">
      <c r="A300" s="68"/>
      <c r="F300" s="68"/>
      <c r="G300" s="2"/>
      <c r="H300" s="2"/>
      <c r="I300" s="72"/>
      <c r="J300" s="59"/>
      <c r="L300" s="68"/>
      <c r="N300" s="2"/>
      <c r="O300" s="2"/>
      <c r="P300" s="2"/>
      <c r="Q300" s="59"/>
      <c r="R300" s="2"/>
    </row>
    <row r="301" spans="1:18" s="1" customFormat="1" ht="20.100000000000001" customHeight="1" x14ac:dyDescent="0.25">
      <c r="A301" s="68"/>
      <c r="F301" s="68"/>
      <c r="G301" s="2"/>
      <c r="H301" s="2"/>
      <c r="I301" s="72"/>
      <c r="J301" s="59"/>
      <c r="L301" s="68"/>
      <c r="N301" s="2"/>
      <c r="O301" s="2"/>
      <c r="P301" s="2"/>
      <c r="Q301" s="59"/>
      <c r="R301" s="2"/>
    </row>
    <row r="302" spans="1:18" s="1" customFormat="1" ht="20.100000000000001" customHeight="1" x14ac:dyDescent="0.25">
      <c r="A302" s="68"/>
      <c r="F302" s="68"/>
      <c r="G302" s="2"/>
      <c r="H302" s="2"/>
      <c r="I302" s="72"/>
      <c r="J302" s="59"/>
      <c r="L302" s="68"/>
      <c r="N302" s="2"/>
      <c r="O302" s="2"/>
      <c r="P302" s="2"/>
      <c r="Q302" s="59"/>
      <c r="R302" s="2"/>
    </row>
    <row r="303" spans="1:18" s="1" customFormat="1" ht="20.100000000000001" customHeight="1" x14ac:dyDescent="0.25">
      <c r="A303" s="68"/>
      <c r="F303" s="68"/>
      <c r="G303" s="2"/>
      <c r="H303" s="2"/>
      <c r="I303" s="72"/>
      <c r="J303" s="59"/>
      <c r="L303" s="68"/>
      <c r="N303" s="2"/>
      <c r="O303" s="2"/>
      <c r="P303" s="2"/>
      <c r="Q303" s="59"/>
      <c r="R303" s="2"/>
    </row>
    <row r="304" spans="1:18" s="1" customFormat="1" ht="20.100000000000001" customHeight="1" x14ac:dyDescent="0.25">
      <c r="A304" s="68"/>
      <c r="F304" s="68"/>
      <c r="G304" s="2"/>
      <c r="H304" s="2"/>
      <c r="I304" s="72"/>
      <c r="J304" s="59"/>
      <c r="L304" s="68"/>
      <c r="N304" s="2"/>
      <c r="O304" s="2"/>
      <c r="P304" s="2"/>
      <c r="Q304" s="59"/>
      <c r="R304" s="2"/>
    </row>
    <row r="305" spans="1:18" s="1" customFormat="1" ht="20.100000000000001" customHeight="1" x14ac:dyDescent="0.25">
      <c r="A305" s="68"/>
      <c r="F305" s="68"/>
      <c r="G305" s="2"/>
      <c r="H305" s="2"/>
      <c r="I305" s="72"/>
      <c r="J305" s="59"/>
      <c r="L305" s="68"/>
      <c r="N305" s="2"/>
      <c r="O305" s="2"/>
      <c r="P305" s="2"/>
      <c r="Q305" s="2"/>
      <c r="R305" s="2"/>
    </row>
    <row r="306" spans="1:18" s="1" customFormat="1" ht="20.100000000000001" customHeight="1" x14ac:dyDescent="0.25">
      <c r="A306" s="68"/>
      <c r="F306" s="68"/>
      <c r="G306" s="2"/>
      <c r="H306" s="2"/>
      <c r="I306" s="72"/>
      <c r="J306" s="59"/>
      <c r="L306" s="68"/>
      <c r="N306" s="2"/>
      <c r="O306" s="2"/>
      <c r="P306" s="2"/>
      <c r="Q306" s="2"/>
      <c r="R306" s="2"/>
    </row>
    <row r="307" spans="1:18" s="1" customFormat="1" ht="20.100000000000001" customHeight="1" x14ac:dyDescent="0.25">
      <c r="A307" s="68"/>
      <c r="F307" s="68"/>
      <c r="G307" s="2"/>
      <c r="H307" s="2"/>
      <c r="I307" s="72"/>
      <c r="J307" s="59"/>
      <c r="L307" s="68"/>
      <c r="N307" s="2"/>
      <c r="O307" s="2"/>
      <c r="P307" s="2"/>
      <c r="Q307" s="2"/>
      <c r="R307" s="2"/>
    </row>
    <row r="308" spans="1:18" s="1" customFormat="1" ht="20.100000000000001" customHeight="1" x14ac:dyDescent="0.25">
      <c r="A308" s="68"/>
      <c r="F308" s="68"/>
      <c r="G308" s="2"/>
      <c r="H308" s="2"/>
      <c r="I308" s="72"/>
      <c r="J308" s="59"/>
      <c r="L308" s="68"/>
      <c r="N308" s="2"/>
      <c r="O308" s="2"/>
      <c r="P308" s="2"/>
      <c r="Q308" s="2"/>
      <c r="R308" s="2"/>
    </row>
    <row r="309" spans="1:18" s="1" customFormat="1" ht="20.100000000000001" customHeight="1" x14ac:dyDescent="0.25">
      <c r="A309" s="68"/>
      <c r="F309" s="68"/>
      <c r="G309" s="2"/>
      <c r="H309" s="2"/>
      <c r="I309" s="72"/>
      <c r="J309" s="59"/>
      <c r="L309" s="68"/>
      <c r="N309" s="2"/>
      <c r="O309" s="2"/>
      <c r="P309" s="2"/>
      <c r="Q309" s="2"/>
      <c r="R309" s="2"/>
    </row>
    <row r="310" spans="1:18" s="1" customFormat="1" ht="20.100000000000001" customHeight="1" x14ac:dyDescent="0.25">
      <c r="A310" s="68"/>
      <c r="F310" s="68"/>
      <c r="G310" s="2"/>
      <c r="H310" s="2"/>
      <c r="I310" s="72"/>
      <c r="J310" s="59"/>
      <c r="L310" s="68"/>
      <c r="N310" s="2"/>
      <c r="O310" s="2"/>
      <c r="P310" s="2"/>
      <c r="Q310" s="2"/>
      <c r="R310" s="2"/>
    </row>
    <row r="311" spans="1:18" s="1" customFormat="1" ht="20.100000000000001" customHeight="1" x14ac:dyDescent="0.25">
      <c r="A311" s="68"/>
      <c r="F311" s="68"/>
      <c r="G311" s="2"/>
      <c r="H311" s="2"/>
      <c r="I311" s="72"/>
      <c r="J311" s="59"/>
      <c r="L311" s="68"/>
      <c r="N311" s="2"/>
      <c r="O311" s="2"/>
      <c r="P311" s="2"/>
      <c r="Q311" s="2"/>
      <c r="R311" s="2"/>
    </row>
    <row r="312" spans="1:18" s="1" customFormat="1" ht="20.100000000000001" customHeight="1" x14ac:dyDescent="0.25">
      <c r="A312" s="68"/>
      <c r="F312" s="68"/>
      <c r="G312" s="2"/>
      <c r="H312" s="2"/>
      <c r="I312" s="72"/>
      <c r="J312" s="59"/>
      <c r="L312" s="68"/>
      <c r="N312" s="2"/>
      <c r="O312" s="2"/>
      <c r="P312" s="2"/>
      <c r="Q312" s="2"/>
      <c r="R312" s="2"/>
    </row>
    <row r="313" spans="1:18" s="1" customFormat="1" ht="20.100000000000001" customHeight="1" x14ac:dyDescent="0.25">
      <c r="A313" s="68"/>
      <c r="F313" s="68"/>
      <c r="G313" s="2"/>
      <c r="H313" s="2"/>
      <c r="I313" s="72"/>
      <c r="J313" s="59"/>
      <c r="L313" s="68"/>
      <c r="N313" s="2"/>
      <c r="O313" s="2"/>
      <c r="P313" s="2"/>
      <c r="Q313" s="2"/>
      <c r="R313" s="2"/>
    </row>
    <row r="314" spans="1:18" s="1" customFormat="1" ht="20.100000000000001" customHeight="1" x14ac:dyDescent="0.25">
      <c r="A314" s="68"/>
      <c r="F314" s="68"/>
      <c r="G314" s="2"/>
      <c r="H314" s="2"/>
      <c r="I314" s="72"/>
      <c r="J314" s="59"/>
      <c r="L314" s="68"/>
      <c r="N314" s="2"/>
      <c r="O314" s="2"/>
      <c r="P314" s="2"/>
      <c r="Q314" s="2"/>
      <c r="R314" s="2"/>
    </row>
    <row r="315" spans="1:18" s="1" customFormat="1" ht="20.100000000000001" customHeight="1" x14ac:dyDescent="0.25">
      <c r="A315" s="68"/>
      <c r="F315" s="68"/>
      <c r="G315" s="2"/>
      <c r="H315" s="2"/>
      <c r="I315" s="72"/>
      <c r="J315" s="59"/>
      <c r="L315" s="68"/>
      <c r="N315" s="2"/>
      <c r="O315" s="2"/>
      <c r="P315" s="2"/>
      <c r="Q315" s="2"/>
      <c r="R315" s="2"/>
    </row>
    <row r="316" spans="1:18" s="1" customFormat="1" ht="20.100000000000001" customHeight="1" x14ac:dyDescent="0.25">
      <c r="A316" s="68"/>
      <c r="F316" s="68"/>
      <c r="G316" s="2"/>
      <c r="H316" s="2"/>
      <c r="I316" s="72"/>
      <c r="J316" s="59"/>
      <c r="L316" s="68"/>
      <c r="N316" s="2"/>
      <c r="O316" s="2"/>
      <c r="P316" s="2"/>
      <c r="Q316" s="2"/>
      <c r="R316" s="2"/>
    </row>
    <row r="317" spans="1:18" s="1" customFormat="1" ht="20.100000000000001" customHeight="1" x14ac:dyDescent="0.25">
      <c r="A317" s="68"/>
      <c r="F317" s="68"/>
      <c r="G317" s="2"/>
      <c r="H317" s="2"/>
      <c r="I317" s="72"/>
      <c r="J317" s="59"/>
      <c r="L317" s="68"/>
      <c r="N317" s="2"/>
      <c r="O317" s="2"/>
      <c r="P317" s="2"/>
      <c r="Q317" s="2"/>
      <c r="R317" s="2"/>
    </row>
    <row r="318" spans="1:18" s="1" customFormat="1" ht="20.100000000000001" customHeight="1" x14ac:dyDescent="0.25">
      <c r="A318" s="68"/>
      <c r="F318" s="68"/>
      <c r="G318" s="2"/>
      <c r="H318" s="2"/>
      <c r="I318" s="72"/>
      <c r="J318" s="59"/>
      <c r="L318" s="68"/>
      <c r="N318" s="2"/>
      <c r="O318" s="2"/>
      <c r="P318" s="2"/>
      <c r="Q318" s="2"/>
      <c r="R318" s="2"/>
    </row>
    <row r="319" spans="1:18" s="1" customFormat="1" ht="20.100000000000001" customHeight="1" x14ac:dyDescent="0.25">
      <c r="A319" s="68"/>
      <c r="F319" s="68"/>
      <c r="G319" s="2"/>
      <c r="H319" s="2"/>
      <c r="I319" s="72"/>
      <c r="J319" s="59"/>
      <c r="L319" s="68"/>
      <c r="N319" s="2"/>
      <c r="O319" s="2"/>
      <c r="P319" s="2"/>
      <c r="Q319" s="2"/>
      <c r="R319" s="2"/>
    </row>
    <row r="320" spans="1:18" s="1" customFormat="1" ht="20.100000000000001" customHeight="1" x14ac:dyDescent="0.25">
      <c r="A320" s="68"/>
      <c r="F320" s="68"/>
      <c r="G320" s="2"/>
      <c r="H320" s="2"/>
      <c r="I320" s="72"/>
      <c r="J320" s="59"/>
      <c r="L320" s="68"/>
      <c r="N320" s="2"/>
      <c r="O320" s="2"/>
      <c r="P320" s="2"/>
      <c r="Q320" s="2"/>
      <c r="R320" s="2"/>
    </row>
    <row r="321" spans="1:18" s="1" customFormat="1" ht="20.100000000000001" customHeight="1" x14ac:dyDescent="0.25">
      <c r="A321" s="68"/>
      <c r="F321" s="68"/>
      <c r="G321" s="2"/>
      <c r="H321" s="2"/>
      <c r="I321" s="72"/>
      <c r="J321" s="59"/>
      <c r="L321" s="68"/>
      <c r="N321" s="2"/>
      <c r="O321" s="2"/>
      <c r="P321" s="2"/>
      <c r="Q321" s="2"/>
      <c r="R321" s="2"/>
    </row>
    <row r="322" spans="1:18" s="1" customFormat="1" ht="20.100000000000001" customHeight="1" x14ac:dyDescent="0.25">
      <c r="A322" s="68"/>
      <c r="F322" s="68"/>
      <c r="G322" s="2"/>
      <c r="H322" s="2"/>
      <c r="I322" s="72"/>
      <c r="J322" s="59"/>
      <c r="L322" s="68"/>
      <c r="N322" s="2"/>
      <c r="O322" s="2"/>
      <c r="P322" s="2"/>
      <c r="Q322" s="2"/>
      <c r="R322" s="2"/>
    </row>
    <row r="323" spans="1:18" s="1" customFormat="1" ht="20.100000000000001" customHeight="1" x14ac:dyDescent="0.25">
      <c r="A323" s="68"/>
      <c r="F323" s="68"/>
      <c r="G323" s="2"/>
      <c r="H323" s="2"/>
      <c r="I323" s="72"/>
      <c r="J323" s="59"/>
      <c r="L323" s="68"/>
      <c r="N323" s="2"/>
      <c r="O323" s="2"/>
      <c r="P323" s="2"/>
      <c r="Q323" s="2"/>
      <c r="R323" s="2"/>
    </row>
    <row r="324" spans="1:18" s="1" customFormat="1" ht="20.100000000000001" customHeight="1" x14ac:dyDescent="0.25">
      <c r="A324" s="68"/>
      <c r="F324" s="68"/>
      <c r="G324" s="2"/>
      <c r="H324" s="2"/>
      <c r="I324" s="72"/>
      <c r="J324" s="59"/>
      <c r="L324" s="68"/>
      <c r="N324" s="2"/>
      <c r="O324" s="2"/>
      <c r="P324" s="2"/>
      <c r="Q324" s="2"/>
      <c r="R324" s="2"/>
    </row>
    <row r="325" spans="1:18" s="1" customFormat="1" ht="20.100000000000001" customHeight="1" x14ac:dyDescent="0.25">
      <c r="A325" s="68"/>
      <c r="F325" s="68"/>
      <c r="G325" s="2"/>
      <c r="H325" s="2"/>
      <c r="I325" s="72"/>
      <c r="J325" s="59"/>
      <c r="L325" s="68"/>
      <c r="N325" s="2"/>
      <c r="O325" s="2"/>
      <c r="P325" s="2"/>
      <c r="Q325" s="2"/>
      <c r="R325" s="2"/>
    </row>
    <row r="326" spans="1:18" s="1" customFormat="1" ht="20.100000000000001" customHeight="1" x14ac:dyDescent="0.25">
      <c r="A326" s="68"/>
      <c r="F326" s="68"/>
      <c r="G326" s="2"/>
      <c r="H326" s="2"/>
      <c r="I326" s="72"/>
      <c r="J326" s="59"/>
      <c r="L326" s="68"/>
      <c r="N326" s="2"/>
      <c r="O326" s="2"/>
      <c r="P326" s="2"/>
      <c r="Q326" s="2"/>
      <c r="R326" s="2"/>
    </row>
    <row r="327" spans="1:18" s="1" customFormat="1" ht="20.100000000000001" customHeight="1" x14ac:dyDescent="0.25">
      <c r="A327" s="68"/>
      <c r="F327" s="68"/>
      <c r="G327" s="2"/>
      <c r="H327" s="2"/>
      <c r="I327" s="72"/>
      <c r="J327" s="59"/>
      <c r="L327" s="68"/>
      <c r="N327" s="2"/>
      <c r="O327" s="2"/>
      <c r="P327" s="2"/>
      <c r="Q327" s="2"/>
      <c r="R327" s="2"/>
    </row>
    <row r="328" spans="1:18" s="1" customFormat="1" ht="20.100000000000001" customHeight="1" x14ac:dyDescent="0.25">
      <c r="A328" s="68"/>
      <c r="F328" s="68"/>
      <c r="G328" s="2"/>
      <c r="H328" s="2"/>
      <c r="I328" s="72"/>
      <c r="J328" s="59"/>
      <c r="L328" s="68"/>
      <c r="N328" s="2"/>
      <c r="O328" s="2"/>
      <c r="P328" s="2"/>
      <c r="Q328" s="2"/>
      <c r="R328" s="2"/>
    </row>
    <row r="329" spans="1:18" s="1" customFormat="1" ht="20.100000000000001" customHeight="1" x14ac:dyDescent="0.25">
      <c r="A329" s="68"/>
      <c r="F329" s="68"/>
      <c r="G329" s="2"/>
      <c r="H329" s="2"/>
      <c r="I329" s="72"/>
      <c r="J329" s="59"/>
      <c r="L329" s="68"/>
      <c r="N329" s="2"/>
      <c r="O329" s="2"/>
      <c r="P329" s="2"/>
      <c r="Q329" s="2"/>
      <c r="R329" s="2"/>
    </row>
    <row r="330" spans="1:18" s="1" customFormat="1" ht="20.100000000000001" customHeight="1" x14ac:dyDescent="0.25">
      <c r="A330" s="68"/>
      <c r="F330" s="68"/>
      <c r="G330" s="2"/>
      <c r="H330" s="2"/>
      <c r="I330" s="72"/>
      <c r="J330" s="59"/>
      <c r="L330" s="68"/>
      <c r="N330" s="2"/>
      <c r="O330" s="2"/>
      <c r="P330" s="2"/>
      <c r="Q330" s="2"/>
      <c r="R330" s="2"/>
    </row>
    <row r="331" spans="1:18" s="1" customFormat="1" ht="20.100000000000001" customHeight="1" x14ac:dyDescent="0.25">
      <c r="A331" s="68"/>
      <c r="F331" s="68"/>
      <c r="G331" s="2"/>
      <c r="H331" s="2"/>
      <c r="I331" s="72"/>
      <c r="J331" s="59"/>
      <c r="L331" s="68"/>
      <c r="N331" s="2"/>
      <c r="O331" s="2"/>
      <c r="P331" s="2"/>
      <c r="Q331" s="2"/>
      <c r="R331" s="2"/>
    </row>
    <row r="332" spans="1:18" s="1" customFormat="1" ht="20.100000000000001" customHeight="1" x14ac:dyDescent="0.25">
      <c r="A332" s="68"/>
      <c r="F332" s="68"/>
      <c r="G332" s="2"/>
      <c r="H332" s="2"/>
      <c r="I332" s="72"/>
      <c r="J332" s="59"/>
      <c r="L332" s="68"/>
      <c r="N332" s="2"/>
      <c r="O332" s="2"/>
      <c r="P332" s="2"/>
      <c r="Q332" s="2"/>
      <c r="R332" s="2"/>
    </row>
    <row r="333" spans="1:18" s="1" customFormat="1" ht="20.100000000000001" customHeight="1" x14ac:dyDescent="0.25">
      <c r="A333" s="68"/>
      <c r="F333" s="68"/>
      <c r="G333" s="2"/>
      <c r="H333" s="2"/>
      <c r="I333" s="72"/>
      <c r="J333" s="59"/>
      <c r="L333" s="68"/>
      <c r="N333" s="2"/>
      <c r="O333" s="2"/>
      <c r="P333" s="2"/>
      <c r="Q333" s="2"/>
      <c r="R333" s="2"/>
    </row>
    <row r="334" spans="1:18" s="1" customFormat="1" ht="20.100000000000001" customHeight="1" x14ac:dyDescent="0.25">
      <c r="A334" s="68"/>
      <c r="F334" s="68"/>
      <c r="G334" s="2"/>
      <c r="H334" s="2"/>
      <c r="I334" s="72"/>
      <c r="J334" s="59"/>
      <c r="L334" s="68"/>
      <c r="N334" s="2"/>
      <c r="O334" s="2"/>
      <c r="P334" s="2"/>
      <c r="Q334" s="2"/>
      <c r="R334" s="2"/>
    </row>
    <row r="335" spans="1:18" s="1" customFormat="1" ht="20.100000000000001" customHeight="1" x14ac:dyDescent="0.25">
      <c r="A335" s="68"/>
      <c r="F335" s="68"/>
      <c r="G335" s="2"/>
      <c r="H335" s="2"/>
      <c r="I335" s="72"/>
      <c r="J335" s="59"/>
      <c r="L335" s="68"/>
      <c r="N335" s="2"/>
      <c r="O335" s="2"/>
      <c r="P335" s="2"/>
      <c r="Q335" s="2"/>
      <c r="R335" s="2"/>
    </row>
    <row r="336" spans="1:18" s="1" customFormat="1" ht="20.100000000000001" customHeight="1" x14ac:dyDescent="0.25">
      <c r="A336" s="68"/>
      <c r="F336" s="68"/>
      <c r="G336" s="2"/>
      <c r="H336" s="2"/>
      <c r="I336" s="72"/>
      <c r="J336" s="59"/>
      <c r="L336" s="68"/>
      <c r="N336" s="2"/>
      <c r="O336" s="2"/>
      <c r="P336" s="2"/>
      <c r="Q336" s="2"/>
      <c r="R336" s="2"/>
    </row>
    <row r="337" spans="1:18" s="1" customFormat="1" ht="20.100000000000001" customHeight="1" x14ac:dyDescent="0.25">
      <c r="A337" s="68"/>
      <c r="F337" s="68"/>
      <c r="G337" s="2"/>
      <c r="H337" s="2"/>
      <c r="I337" s="72"/>
      <c r="J337" s="59"/>
      <c r="L337" s="68"/>
      <c r="N337" s="2"/>
      <c r="O337" s="2"/>
      <c r="P337" s="2"/>
      <c r="Q337" s="2"/>
      <c r="R337" s="2"/>
    </row>
    <row r="338" spans="1:18" s="1" customFormat="1" ht="20.100000000000001" customHeight="1" x14ac:dyDescent="0.25">
      <c r="A338" s="68"/>
      <c r="F338" s="68"/>
      <c r="G338" s="2"/>
      <c r="H338" s="2"/>
      <c r="I338" s="72"/>
      <c r="J338" s="59"/>
      <c r="L338" s="68"/>
      <c r="N338" s="2"/>
      <c r="O338" s="2"/>
      <c r="P338" s="2"/>
      <c r="Q338" s="2"/>
      <c r="R338" s="2"/>
    </row>
    <row r="339" spans="1:18" s="1" customFormat="1" ht="20.100000000000001" customHeight="1" x14ac:dyDescent="0.25">
      <c r="A339" s="68"/>
      <c r="F339" s="68"/>
      <c r="G339" s="2"/>
      <c r="H339" s="2"/>
      <c r="I339" s="72"/>
      <c r="J339" s="59"/>
      <c r="L339" s="68"/>
      <c r="N339" s="2"/>
      <c r="O339" s="2"/>
      <c r="P339" s="2"/>
      <c r="Q339" s="2"/>
      <c r="R339" s="2"/>
    </row>
    <row r="340" spans="1:18" s="1" customFormat="1" ht="20.100000000000001" customHeight="1" x14ac:dyDescent="0.25">
      <c r="A340" s="68"/>
      <c r="F340" s="68"/>
      <c r="G340" s="2"/>
      <c r="H340" s="2"/>
      <c r="I340" s="72"/>
      <c r="J340" s="59"/>
      <c r="L340" s="68"/>
      <c r="N340" s="2"/>
      <c r="O340" s="2"/>
      <c r="P340" s="2"/>
      <c r="Q340" s="2"/>
      <c r="R340" s="2"/>
    </row>
    <row r="341" spans="1:18" s="1" customFormat="1" ht="20.100000000000001" customHeight="1" x14ac:dyDescent="0.25">
      <c r="A341" s="68"/>
      <c r="F341" s="68"/>
      <c r="G341" s="2"/>
      <c r="H341" s="2"/>
      <c r="I341" s="72"/>
      <c r="J341" s="59"/>
      <c r="L341" s="68"/>
      <c r="N341" s="2"/>
      <c r="O341" s="2"/>
      <c r="P341" s="2"/>
      <c r="Q341" s="2"/>
      <c r="R341" s="2"/>
    </row>
    <row r="342" spans="1:18" s="1" customFormat="1" ht="20.100000000000001" customHeight="1" x14ac:dyDescent="0.25">
      <c r="A342" s="68"/>
      <c r="F342" s="68"/>
      <c r="G342" s="2"/>
      <c r="H342" s="2"/>
      <c r="I342" s="72"/>
      <c r="J342" s="59"/>
      <c r="L342" s="68"/>
      <c r="N342" s="2"/>
      <c r="O342" s="2"/>
      <c r="P342" s="2"/>
      <c r="Q342" s="2"/>
      <c r="R342" s="2"/>
    </row>
    <row r="343" spans="1:18" s="1" customFormat="1" ht="20.100000000000001" customHeight="1" x14ac:dyDescent="0.25">
      <c r="A343" s="68"/>
      <c r="F343" s="68"/>
      <c r="G343" s="2"/>
      <c r="H343" s="2"/>
      <c r="I343" s="72"/>
      <c r="J343" s="59"/>
      <c r="L343" s="68"/>
      <c r="N343" s="2"/>
      <c r="O343" s="2"/>
      <c r="P343" s="2"/>
      <c r="Q343" s="2"/>
      <c r="R343" s="2"/>
    </row>
    <row r="344" spans="1:18" s="1" customFormat="1" ht="20.100000000000001" customHeight="1" x14ac:dyDescent="0.25">
      <c r="A344" s="68"/>
      <c r="F344" s="68"/>
      <c r="G344" s="2"/>
      <c r="H344" s="2"/>
      <c r="I344" s="72"/>
      <c r="J344" s="59"/>
      <c r="L344" s="68"/>
      <c r="N344" s="2"/>
      <c r="O344" s="2"/>
      <c r="P344" s="2"/>
      <c r="Q344" s="2"/>
      <c r="R344" s="2"/>
    </row>
    <row r="345" spans="1:18" s="1" customFormat="1" ht="20.100000000000001" customHeight="1" x14ac:dyDescent="0.25">
      <c r="A345" s="68"/>
      <c r="F345" s="68"/>
      <c r="G345" s="2"/>
      <c r="H345" s="2"/>
      <c r="I345" s="72"/>
      <c r="J345" s="59"/>
      <c r="L345" s="68"/>
      <c r="N345" s="2"/>
      <c r="O345" s="2"/>
      <c r="P345" s="2"/>
      <c r="Q345" s="2"/>
      <c r="R345" s="2"/>
    </row>
    <row r="346" spans="1:18" s="1" customFormat="1" ht="20.100000000000001" customHeight="1" x14ac:dyDescent="0.25">
      <c r="A346" s="68"/>
      <c r="F346" s="68"/>
      <c r="G346" s="2"/>
      <c r="H346" s="2"/>
      <c r="I346" s="72"/>
      <c r="J346" s="59"/>
      <c r="L346" s="68"/>
      <c r="N346" s="2"/>
      <c r="O346" s="2"/>
      <c r="P346" s="2"/>
      <c r="Q346" s="2"/>
      <c r="R346" s="2"/>
    </row>
    <row r="347" spans="1:18" s="1" customFormat="1" ht="20.100000000000001" customHeight="1" x14ac:dyDescent="0.25">
      <c r="A347" s="68"/>
      <c r="F347" s="68"/>
      <c r="G347" s="2"/>
      <c r="H347" s="2"/>
      <c r="I347" s="72"/>
      <c r="J347" s="59"/>
      <c r="L347" s="68"/>
      <c r="N347" s="2"/>
      <c r="O347" s="2"/>
      <c r="P347" s="2"/>
      <c r="Q347" s="2"/>
      <c r="R347" s="2"/>
    </row>
    <row r="348" spans="1:18" s="1" customFormat="1" ht="20.100000000000001" customHeight="1" x14ac:dyDescent="0.25">
      <c r="A348" s="68"/>
      <c r="F348" s="68"/>
      <c r="G348" s="2"/>
      <c r="H348" s="2"/>
      <c r="I348" s="72"/>
      <c r="J348" s="59"/>
      <c r="L348" s="68"/>
      <c r="N348" s="2"/>
      <c r="O348" s="2"/>
      <c r="P348" s="2"/>
      <c r="Q348" s="2"/>
      <c r="R348" s="2"/>
    </row>
    <row r="349" spans="1:18" s="1" customFormat="1" ht="20.100000000000001" customHeight="1" x14ac:dyDescent="0.25">
      <c r="A349" s="68"/>
      <c r="F349" s="68"/>
      <c r="G349" s="2"/>
      <c r="H349" s="2"/>
      <c r="I349" s="72"/>
      <c r="J349" s="59"/>
      <c r="L349" s="68"/>
      <c r="N349" s="2"/>
      <c r="O349" s="2"/>
      <c r="P349" s="2"/>
      <c r="Q349" s="2"/>
      <c r="R349" s="2"/>
    </row>
    <row r="350" spans="1:18" s="1" customFormat="1" ht="20.100000000000001" customHeight="1" x14ac:dyDescent="0.25">
      <c r="A350" s="68"/>
      <c r="F350" s="68"/>
      <c r="G350" s="2"/>
      <c r="H350" s="2"/>
      <c r="I350" s="72"/>
      <c r="J350" s="59"/>
      <c r="L350" s="68"/>
      <c r="N350" s="2"/>
      <c r="O350" s="2"/>
      <c r="P350" s="2"/>
      <c r="Q350" s="2"/>
      <c r="R350" s="2"/>
    </row>
    <row r="351" spans="1:18" s="1" customFormat="1" ht="20.100000000000001" customHeight="1" x14ac:dyDescent="0.25">
      <c r="A351" s="68"/>
      <c r="F351" s="68"/>
      <c r="G351" s="2"/>
      <c r="H351" s="2"/>
      <c r="I351" s="72"/>
      <c r="J351" s="59"/>
      <c r="L351" s="68"/>
      <c r="N351" s="2"/>
      <c r="O351" s="2"/>
      <c r="P351" s="2"/>
      <c r="Q351" s="2"/>
      <c r="R351" s="2"/>
    </row>
    <row r="352" spans="1:18" s="1" customFormat="1" ht="20.100000000000001" customHeight="1" x14ac:dyDescent="0.25">
      <c r="A352" s="68"/>
      <c r="F352" s="68"/>
      <c r="G352" s="2"/>
      <c r="H352" s="2"/>
      <c r="I352" s="72"/>
      <c r="J352" s="59"/>
      <c r="L352" s="68"/>
      <c r="N352" s="2"/>
      <c r="O352" s="2"/>
      <c r="P352" s="2"/>
      <c r="Q352" s="2"/>
      <c r="R352" s="2"/>
    </row>
    <row r="353" spans="1:18" s="1" customFormat="1" ht="20.100000000000001" customHeight="1" x14ac:dyDescent="0.25">
      <c r="A353" s="68"/>
      <c r="F353" s="68"/>
      <c r="G353" s="2"/>
      <c r="H353" s="2"/>
      <c r="I353" s="72"/>
      <c r="J353" s="59"/>
      <c r="L353" s="68"/>
      <c r="N353" s="2"/>
      <c r="O353" s="2"/>
      <c r="P353" s="2"/>
      <c r="Q353" s="2"/>
      <c r="R353" s="2"/>
    </row>
    <row r="354" spans="1:18" s="1" customFormat="1" ht="20.100000000000001" customHeight="1" x14ac:dyDescent="0.25">
      <c r="A354" s="68"/>
      <c r="F354" s="68"/>
      <c r="G354" s="2"/>
      <c r="H354" s="2"/>
      <c r="I354" s="72"/>
      <c r="J354" s="59"/>
      <c r="L354" s="68"/>
      <c r="N354" s="2"/>
      <c r="O354" s="2"/>
      <c r="P354" s="2"/>
      <c r="Q354" s="2"/>
      <c r="R354" s="2"/>
    </row>
    <row r="355" spans="1:18" s="1" customFormat="1" ht="20.100000000000001" customHeight="1" x14ac:dyDescent="0.25">
      <c r="A355" s="68"/>
      <c r="F355" s="68"/>
      <c r="G355" s="2"/>
      <c r="H355" s="2"/>
      <c r="I355" s="72"/>
      <c r="J355" s="59"/>
      <c r="L355" s="68"/>
      <c r="N355" s="2"/>
      <c r="O355" s="2"/>
      <c r="P355" s="2"/>
      <c r="Q355" s="2"/>
      <c r="R355" s="2"/>
    </row>
    <row r="356" spans="1:18" s="1" customFormat="1" ht="20.100000000000001" customHeight="1" x14ac:dyDescent="0.25">
      <c r="A356" s="68"/>
      <c r="F356" s="68"/>
      <c r="G356" s="2"/>
      <c r="H356" s="2"/>
      <c r="I356" s="72"/>
      <c r="J356" s="59"/>
      <c r="L356" s="68"/>
      <c r="N356" s="2"/>
      <c r="O356" s="2"/>
      <c r="P356" s="2"/>
      <c r="Q356" s="2"/>
      <c r="R356" s="2"/>
    </row>
    <row r="357" spans="1:18" s="1" customFormat="1" ht="20.100000000000001" customHeight="1" x14ac:dyDescent="0.25">
      <c r="A357" s="68"/>
      <c r="F357" s="68"/>
      <c r="G357" s="2"/>
      <c r="H357" s="2"/>
      <c r="I357" s="72"/>
      <c r="J357" s="59"/>
      <c r="L357" s="68"/>
      <c r="N357" s="2"/>
      <c r="O357" s="2"/>
      <c r="P357" s="2"/>
      <c r="Q357" s="2"/>
      <c r="R357" s="2"/>
    </row>
    <row r="358" spans="1:18" s="1" customFormat="1" ht="20.100000000000001" customHeight="1" x14ac:dyDescent="0.25">
      <c r="A358" s="68"/>
      <c r="F358" s="68"/>
      <c r="G358" s="2"/>
      <c r="H358" s="2"/>
      <c r="I358" s="72"/>
      <c r="J358" s="59"/>
      <c r="L358" s="68"/>
      <c r="N358" s="2"/>
      <c r="O358" s="2"/>
      <c r="P358" s="2"/>
      <c r="Q358" s="2"/>
      <c r="R358" s="2"/>
    </row>
    <row r="359" spans="1:18" s="1" customFormat="1" ht="20.100000000000001" customHeight="1" x14ac:dyDescent="0.25">
      <c r="A359" s="68"/>
      <c r="F359" s="68"/>
      <c r="G359" s="2"/>
      <c r="H359" s="2"/>
      <c r="I359" s="72"/>
      <c r="J359" s="59"/>
      <c r="L359" s="68"/>
      <c r="N359" s="2"/>
      <c r="O359" s="2"/>
      <c r="P359" s="2"/>
      <c r="Q359" s="2"/>
      <c r="R359" s="2"/>
    </row>
    <row r="360" spans="1:18" s="1" customFormat="1" ht="20.100000000000001" customHeight="1" x14ac:dyDescent="0.25">
      <c r="A360" s="68"/>
      <c r="F360" s="68"/>
      <c r="G360" s="2"/>
      <c r="H360" s="2"/>
      <c r="I360" s="72"/>
      <c r="J360" s="59"/>
      <c r="L360" s="68"/>
      <c r="N360" s="2"/>
      <c r="O360" s="2"/>
      <c r="P360" s="2"/>
      <c r="Q360" s="2"/>
      <c r="R360" s="2"/>
    </row>
    <row r="361" spans="1:18" s="1" customFormat="1" ht="20.100000000000001" customHeight="1" x14ac:dyDescent="0.25">
      <c r="A361" s="68"/>
      <c r="F361" s="68"/>
      <c r="G361" s="2"/>
      <c r="H361" s="2"/>
      <c r="I361" s="72"/>
      <c r="J361" s="59"/>
      <c r="L361" s="68"/>
      <c r="N361" s="2"/>
      <c r="O361" s="2"/>
      <c r="P361" s="2"/>
      <c r="Q361" s="2"/>
      <c r="R361" s="2"/>
    </row>
    <row r="362" spans="1:18" s="1" customFormat="1" ht="20.100000000000001" customHeight="1" x14ac:dyDescent="0.25">
      <c r="A362" s="68"/>
      <c r="F362" s="68"/>
      <c r="G362" s="2"/>
      <c r="H362" s="2"/>
      <c r="I362" s="72"/>
      <c r="J362" s="59"/>
      <c r="L362" s="68"/>
      <c r="N362" s="2"/>
      <c r="O362" s="2"/>
      <c r="P362" s="2"/>
      <c r="Q362" s="2"/>
      <c r="R362" s="2"/>
    </row>
    <row r="363" spans="1:18" s="1" customFormat="1" ht="20.100000000000001" customHeight="1" x14ac:dyDescent="0.25">
      <c r="A363" s="68"/>
      <c r="F363" s="68"/>
      <c r="G363" s="2"/>
      <c r="H363" s="2"/>
      <c r="I363" s="72"/>
      <c r="J363" s="59"/>
      <c r="L363" s="68"/>
      <c r="N363" s="2"/>
      <c r="O363" s="2"/>
      <c r="P363" s="2"/>
      <c r="Q363" s="2"/>
      <c r="R363" s="2"/>
    </row>
    <row r="364" spans="1:18" s="1" customFormat="1" ht="20.100000000000001" customHeight="1" x14ac:dyDescent="0.25">
      <c r="A364" s="68"/>
      <c r="F364" s="68"/>
      <c r="G364" s="2"/>
      <c r="H364" s="2"/>
      <c r="I364" s="72"/>
      <c r="J364" s="59"/>
      <c r="L364" s="68"/>
      <c r="N364" s="2"/>
      <c r="O364" s="2"/>
      <c r="P364" s="2"/>
      <c r="Q364" s="2"/>
      <c r="R364" s="2"/>
    </row>
    <row r="365" spans="1:18" s="1" customFormat="1" ht="20.100000000000001" customHeight="1" x14ac:dyDescent="0.25">
      <c r="A365" s="68"/>
      <c r="F365" s="68"/>
      <c r="G365" s="2"/>
      <c r="H365" s="2"/>
      <c r="I365" s="72"/>
      <c r="J365" s="59"/>
      <c r="L365" s="68"/>
      <c r="N365" s="2"/>
      <c r="O365" s="2"/>
      <c r="P365" s="2"/>
      <c r="Q365" s="2"/>
      <c r="R365" s="2"/>
    </row>
    <row r="366" spans="1:18" s="1" customFormat="1" ht="20.100000000000001" customHeight="1" x14ac:dyDescent="0.25">
      <c r="A366" s="68"/>
      <c r="F366" s="68"/>
      <c r="G366" s="2"/>
      <c r="H366" s="2"/>
      <c r="I366" s="72"/>
      <c r="J366" s="59"/>
      <c r="L366" s="68"/>
      <c r="N366" s="2"/>
      <c r="O366" s="2"/>
      <c r="P366" s="2"/>
      <c r="Q366" s="2"/>
      <c r="R366" s="2"/>
    </row>
    <row r="367" spans="1:18" s="1" customFormat="1" ht="20.100000000000001" customHeight="1" x14ac:dyDescent="0.25">
      <c r="A367" s="68"/>
      <c r="F367" s="68"/>
      <c r="G367" s="2"/>
      <c r="H367" s="2"/>
      <c r="I367" s="72"/>
      <c r="J367" s="59"/>
      <c r="L367" s="68"/>
      <c r="N367" s="2"/>
      <c r="O367" s="2"/>
      <c r="P367" s="2"/>
      <c r="Q367" s="2"/>
      <c r="R367" s="2"/>
    </row>
    <row r="368" spans="1:18" s="1" customFormat="1" ht="20.100000000000001" customHeight="1" x14ac:dyDescent="0.25">
      <c r="A368" s="68"/>
      <c r="F368" s="68"/>
      <c r="G368" s="2"/>
      <c r="H368" s="2"/>
      <c r="I368" s="72"/>
      <c r="J368" s="59"/>
      <c r="L368" s="68"/>
      <c r="N368" s="2"/>
      <c r="O368" s="2"/>
      <c r="P368" s="2"/>
      <c r="Q368" s="2"/>
      <c r="R368" s="2"/>
    </row>
    <row r="369" spans="1:18" s="1" customFormat="1" ht="20.100000000000001" customHeight="1" x14ac:dyDescent="0.25">
      <c r="A369" s="68"/>
      <c r="F369" s="68"/>
      <c r="G369" s="2"/>
      <c r="H369" s="2"/>
      <c r="I369" s="72"/>
      <c r="J369" s="59"/>
      <c r="L369" s="68"/>
      <c r="N369" s="2"/>
      <c r="O369" s="2"/>
      <c r="P369" s="2"/>
      <c r="Q369" s="2"/>
      <c r="R369" s="2"/>
    </row>
    <row r="370" spans="1:18" s="1" customFormat="1" ht="20.100000000000001" customHeight="1" x14ac:dyDescent="0.25">
      <c r="A370" s="68"/>
      <c r="F370" s="68"/>
      <c r="G370" s="2"/>
      <c r="H370" s="2"/>
      <c r="I370" s="72"/>
      <c r="J370" s="59"/>
      <c r="L370" s="68"/>
      <c r="N370" s="2"/>
      <c r="O370" s="2"/>
      <c r="P370" s="2"/>
      <c r="Q370" s="2"/>
      <c r="R370" s="2"/>
    </row>
    <row r="371" spans="1:18" s="1" customFormat="1" ht="20.100000000000001" customHeight="1" x14ac:dyDescent="0.25">
      <c r="A371" s="68"/>
      <c r="F371" s="68"/>
      <c r="G371" s="2"/>
      <c r="H371" s="2"/>
      <c r="I371" s="72"/>
      <c r="J371" s="59"/>
      <c r="L371" s="68"/>
      <c r="N371" s="2"/>
      <c r="O371" s="2"/>
      <c r="P371" s="2"/>
      <c r="Q371" s="2"/>
      <c r="R371" s="2"/>
    </row>
    <row r="372" spans="1:18" s="1" customFormat="1" ht="20.100000000000001" customHeight="1" x14ac:dyDescent="0.25">
      <c r="A372" s="68"/>
      <c r="F372" s="68"/>
      <c r="G372" s="2"/>
      <c r="H372" s="2"/>
      <c r="I372" s="72"/>
      <c r="J372" s="59"/>
      <c r="L372" s="68"/>
      <c r="N372" s="2"/>
      <c r="O372" s="2"/>
      <c r="P372" s="2"/>
      <c r="Q372" s="2"/>
      <c r="R372" s="2"/>
    </row>
    <row r="373" spans="1:18" s="1" customFormat="1" ht="20.100000000000001" customHeight="1" x14ac:dyDescent="0.25">
      <c r="A373" s="68"/>
      <c r="F373" s="68"/>
      <c r="G373" s="2"/>
      <c r="H373" s="2"/>
      <c r="I373" s="72"/>
      <c r="J373" s="59"/>
      <c r="L373" s="68"/>
      <c r="N373" s="2"/>
      <c r="O373" s="2"/>
      <c r="P373" s="2"/>
      <c r="Q373" s="2"/>
      <c r="R373" s="2"/>
    </row>
    <row r="374" spans="1:18" s="1" customFormat="1" ht="20.100000000000001" customHeight="1" x14ac:dyDescent="0.25">
      <c r="A374" s="68"/>
      <c r="F374" s="68"/>
      <c r="G374" s="2"/>
      <c r="H374" s="2"/>
      <c r="I374" s="72"/>
      <c r="J374" s="59"/>
      <c r="L374" s="68"/>
      <c r="N374" s="2"/>
      <c r="O374" s="2"/>
      <c r="P374" s="2"/>
      <c r="Q374" s="2"/>
      <c r="R374" s="2"/>
    </row>
    <row r="375" spans="1:18" s="1" customFormat="1" ht="20.100000000000001" customHeight="1" x14ac:dyDescent="0.25">
      <c r="A375" s="68"/>
      <c r="F375" s="68"/>
      <c r="G375" s="2"/>
      <c r="H375" s="2"/>
      <c r="I375" s="72"/>
      <c r="J375" s="59"/>
      <c r="L375" s="68"/>
      <c r="N375" s="2"/>
      <c r="O375" s="2"/>
      <c r="P375" s="2"/>
      <c r="Q375" s="2"/>
      <c r="R375" s="2"/>
    </row>
    <row r="376" spans="1:18" s="1" customFormat="1" ht="20.100000000000001" customHeight="1" x14ac:dyDescent="0.25">
      <c r="A376" s="68"/>
      <c r="F376" s="68"/>
      <c r="G376" s="2"/>
      <c r="H376" s="2"/>
      <c r="I376" s="72"/>
      <c r="J376" s="59"/>
      <c r="L376" s="68"/>
      <c r="N376" s="2"/>
      <c r="O376" s="2"/>
      <c r="P376" s="2"/>
      <c r="Q376" s="2"/>
      <c r="R376" s="2"/>
    </row>
    <row r="377" spans="1:18" s="1" customFormat="1" ht="20.100000000000001" customHeight="1" x14ac:dyDescent="0.25">
      <c r="A377" s="68"/>
      <c r="F377" s="68"/>
      <c r="G377" s="2"/>
      <c r="H377" s="2"/>
      <c r="I377" s="72"/>
      <c r="J377" s="59"/>
      <c r="L377" s="68"/>
      <c r="N377" s="2"/>
      <c r="O377" s="2"/>
      <c r="P377" s="2"/>
      <c r="Q377" s="2"/>
      <c r="R377" s="2"/>
    </row>
    <row r="378" spans="1:18" s="1" customFormat="1" ht="20.100000000000001" customHeight="1" x14ac:dyDescent="0.25">
      <c r="A378" s="68"/>
      <c r="F378" s="68"/>
      <c r="G378" s="2"/>
      <c r="H378" s="2"/>
      <c r="I378" s="72"/>
      <c r="J378" s="59"/>
      <c r="L378" s="68"/>
      <c r="N378" s="2"/>
      <c r="O378" s="2"/>
      <c r="P378" s="2"/>
      <c r="Q378" s="2"/>
      <c r="R378" s="2"/>
    </row>
    <row r="379" spans="1:18" s="1" customFormat="1" ht="20.100000000000001" customHeight="1" x14ac:dyDescent="0.25">
      <c r="A379" s="68"/>
      <c r="F379" s="68"/>
      <c r="G379" s="2"/>
      <c r="H379" s="2"/>
      <c r="I379" s="72"/>
      <c r="J379" s="59"/>
      <c r="L379" s="68"/>
      <c r="N379" s="2"/>
      <c r="O379" s="2"/>
      <c r="P379" s="2"/>
      <c r="Q379" s="2"/>
      <c r="R379" s="2"/>
    </row>
    <row r="380" spans="1:18" s="1" customFormat="1" ht="20.100000000000001" customHeight="1" x14ac:dyDescent="0.25">
      <c r="A380" s="68"/>
      <c r="F380" s="68"/>
      <c r="G380" s="2"/>
      <c r="H380" s="2"/>
      <c r="I380" s="72"/>
      <c r="J380" s="59"/>
      <c r="L380" s="68"/>
      <c r="N380" s="2"/>
      <c r="O380" s="2"/>
      <c r="P380" s="2"/>
      <c r="Q380" s="2"/>
      <c r="R380" s="2"/>
    </row>
    <row r="381" spans="1:18" s="1" customFormat="1" ht="20.100000000000001" customHeight="1" x14ac:dyDescent="0.25">
      <c r="A381" s="68"/>
      <c r="F381" s="68"/>
      <c r="G381" s="2"/>
      <c r="H381" s="2"/>
      <c r="I381" s="72"/>
      <c r="J381" s="59"/>
      <c r="L381" s="68"/>
      <c r="N381" s="2"/>
      <c r="O381" s="2"/>
      <c r="P381" s="2"/>
      <c r="Q381" s="2"/>
      <c r="R381" s="2"/>
    </row>
    <row r="382" spans="1:18" s="1" customFormat="1" ht="20.100000000000001" customHeight="1" x14ac:dyDescent="0.25">
      <c r="A382" s="68"/>
      <c r="F382" s="68"/>
      <c r="G382" s="2"/>
      <c r="H382" s="2"/>
      <c r="I382" s="72"/>
      <c r="J382" s="59"/>
      <c r="L382" s="68"/>
      <c r="N382" s="2"/>
      <c r="O382" s="2"/>
      <c r="P382" s="2"/>
      <c r="Q382" s="2"/>
      <c r="R382" s="2"/>
    </row>
    <row r="383" spans="1:18" s="1" customFormat="1" ht="20.100000000000001" customHeight="1" x14ac:dyDescent="0.25">
      <c r="A383" s="68"/>
      <c r="F383" s="68"/>
      <c r="G383" s="2"/>
      <c r="H383" s="2"/>
      <c r="I383" s="72"/>
      <c r="J383" s="59"/>
      <c r="L383" s="68"/>
      <c r="N383" s="2"/>
      <c r="O383" s="2"/>
      <c r="P383" s="2"/>
      <c r="Q383" s="2"/>
      <c r="R383" s="2"/>
    </row>
    <row r="384" spans="1:18" s="1" customFormat="1" ht="20.100000000000001" customHeight="1" x14ac:dyDescent="0.25">
      <c r="A384" s="68"/>
      <c r="F384" s="68"/>
      <c r="G384" s="2"/>
      <c r="H384" s="2"/>
      <c r="I384" s="72"/>
      <c r="J384" s="59"/>
      <c r="L384" s="68"/>
      <c r="N384" s="2"/>
      <c r="O384" s="2"/>
      <c r="P384" s="2"/>
      <c r="Q384" s="2"/>
      <c r="R384" s="2"/>
    </row>
    <row r="385" spans="1:18" s="1" customFormat="1" ht="20.100000000000001" customHeight="1" x14ac:dyDescent="0.25">
      <c r="A385" s="68"/>
      <c r="F385" s="68"/>
      <c r="G385" s="2"/>
      <c r="H385" s="2"/>
      <c r="I385" s="72"/>
      <c r="J385" s="59"/>
      <c r="L385" s="68"/>
      <c r="N385" s="2"/>
      <c r="O385" s="2"/>
      <c r="P385" s="2"/>
      <c r="Q385" s="2"/>
      <c r="R385" s="2"/>
    </row>
    <row r="386" spans="1:18" s="1" customFormat="1" ht="20.100000000000001" customHeight="1" x14ac:dyDescent="0.25">
      <c r="A386" s="68"/>
      <c r="F386" s="68"/>
      <c r="G386" s="2"/>
      <c r="H386" s="2"/>
      <c r="I386" s="72"/>
      <c r="J386" s="59"/>
      <c r="L386" s="68"/>
      <c r="N386" s="2"/>
      <c r="O386" s="2"/>
      <c r="P386" s="2"/>
      <c r="Q386" s="2"/>
      <c r="R386" s="2"/>
    </row>
    <row r="387" spans="1:18" s="1" customFormat="1" ht="20.100000000000001" customHeight="1" x14ac:dyDescent="0.25">
      <c r="A387" s="68"/>
      <c r="F387" s="68"/>
      <c r="G387" s="2"/>
      <c r="H387" s="2"/>
      <c r="I387" s="72"/>
      <c r="J387" s="59"/>
      <c r="L387" s="68"/>
      <c r="N387" s="2"/>
      <c r="O387" s="2"/>
      <c r="P387" s="2"/>
      <c r="Q387" s="2"/>
      <c r="R387" s="2"/>
    </row>
    <row r="388" spans="1:18" s="1" customFormat="1" ht="20.100000000000001" customHeight="1" x14ac:dyDescent="0.25">
      <c r="A388" s="68"/>
      <c r="F388" s="68"/>
      <c r="G388" s="2"/>
      <c r="H388" s="2"/>
      <c r="I388" s="72"/>
      <c r="J388" s="59"/>
      <c r="L388" s="68"/>
      <c r="N388" s="2"/>
      <c r="O388" s="2"/>
      <c r="P388" s="2"/>
      <c r="Q388" s="2"/>
      <c r="R388" s="2"/>
    </row>
    <row r="389" spans="1:18" s="1" customFormat="1" ht="20.100000000000001" customHeight="1" x14ac:dyDescent="0.25">
      <c r="A389" s="68"/>
      <c r="F389" s="68"/>
      <c r="G389" s="2"/>
      <c r="H389" s="2"/>
      <c r="I389" s="72"/>
      <c r="J389" s="59"/>
      <c r="L389" s="68"/>
      <c r="N389" s="2"/>
      <c r="O389" s="2"/>
      <c r="P389" s="2"/>
      <c r="Q389" s="2"/>
      <c r="R389" s="2"/>
    </row>
    <row r="390" spans="1:18" s="1" customFormat="1" ht="20.100000000000001" customHeight="1" x14ac:dyDescent="0.25">
      <c r="A390" s="68"/>
      <c r="F390" s="68"/>
      <c r="G390" s="2"/>
      <c r="H390" s="2"/>
      <c r="I390" s="72"/>
      <c r="J390" s="59"/>
      <c r="L390" s="68"/>
      <c r="N390" s="2"/>
      <c r="O390" s="2"/>
      <c r="P390" s="2"/>
      <c r="Q390" s="2"/>
      <c r="R390" s="2"/>
    </row>
    <row r="391" spans="1:18" s="1" customFormat="1" ht="20.100000000000001" customHeight="1" x14ac:dyDescent="0.25">
      <c r="A391" s="68"/>
      <c r="F391" s="68"/>
      <c r="G391" s="2"/>
      <c r="H391" s="2"/>
      <c r="I391" s="72"/>
      <c r="J391" s="59"/>
      <c r="L391" s="68"/>
      <c r="N391" s="2"/>
      <c r="O391" s="2"/>
      <c r="P391" s="2"/>
      <c r="Q391" s="2"/>
      <c r="R391" s="2"/>
    </row>
    <row r="392" spans="1:18" s="1" customFormat="1" ht="20.100000000000001" customHeight="1" x14ac:dyDescent="0.25">
      <c r="A392" s="68"/>
      <c r="F392" s="68"/>
      <c r="G392" s="2"/>
      <c r="H392" s="2"/>
      <c r="I392" s="72"/>
      <c r="J392" s="59"/>
      <c r="L392" s="68"/>
      <c r="N392" s="2"/>
      <c r="O392" s="2"/>
      <c r="P392" s="2"/>
      <c r="Q392" s="2"/>
      <c r="R392" s="2"/>
    </row>
    <row r="393" spans="1:18" s="1" customFormat="1" ht="20.100000000000001" customHeight="1" x14ac:dyDescent="0.25">
      <c r="A393" s="68"/>
      <c r="F393" s="68"/>
      <c r="G393" s="2"/>
      <c r="H393" s="2"/>
      <c r="I393" s="72"/>
      <c r="J393" s="59"/>
      <c r="L393" s="68"/>
      <c r="N393" s="2"/>
      <c r="O393" s="2"/>
      <c r="P393" s="2"/>
      <c r="Q393" s="2"/>
      <c r="R393" s="2"/>
    </row>
    <row r="394" spans="1:18" s="1" customFormat="1" ht="20.100000000000001" customHeight="1" x14ac:dyDescent="0.25">
      <c r="A394" s="68"/>
      <c r="F394" s="68"/>
      <c r="G394" s="2"/>
      <c r="H394" s="2"/>
      <c r="I394" s="72"/>
      <c r="J394" s="59"/>
      <c r="L394" s="68"/>
      <c r="N394" s="2"/>
      <c r="O394" s="2"/>
      <c r="P394" s="2"/>
      <c r="Q394" s="2"/>
      <c r="R394" s="2"/>
    </row>
    <row r="395" spans="1:18" s="1" customFormat="1" ht="20.100000000000001" customHeight="1" x14ac:dyDescent="0.25">
      <c r="A395" s="68"/>
      <c r="F395" s="68"/>
      <c r="G395" s="2"/>
      <c r="H395" s="2"/>
      <c r="I395" s="72"/>
      <c r="J395" s="59"/>
      <c r="L395" s="68"/>
      <c r="N395" s="2"/>
      <c r="O395" s="2"/>
      <c r="P395" s="2"/>
      <c r="Q395" s="2"/>
      <c r="R395" s="2"/>
    </row>
    <row r="396" spans="1:18" s="1" customFormat="1" ht="20.100000000000001" customHeight="1" x14ac:dyDescent="0.25">
      <c r="A396" s="68"/>
      <c r="F396" s="68"/>
      <c r="G396" s="2"/>
      <c r="H396" s="2"/>
      <c r="I396" s="72"/>
      <c r="J396" s="59"/>
      <c r="L396" s="68"/>
      <c r="N396" s="2"/>
      <c r="O396" s="2"/>
      <c r="P396" s="2"/>
      <c r="Q396" s="2"/>
      <c r="R396" s="2"/>
    </row>
    <row r="397" spans="1:18" s="1" customFormat="1" ht="20.100000000000001" customHeight="1" x14ac:dyDescent="0.25">
      <c r="A397" s="68"/>
      <c r="F397" s="68"/>
      <c r="G397" s="2"/>
      <c r="H397" s="2"/>
      <c r="I397" s="72"/>
      <c r="J397" s="59"/>
      <c r="L397" s="68"/>
      <c r="N397" s="2"/>
      <c r="O397" s="2"/>
      <c r="P397" s="2"/>
      <c r="Q397" s="2"/>
      <c r="R397" s="2"/>
    </row>
    <row r="398" spans="1:18" s="1" customFormat="1" ht="20.100000000000001" customHeight="1" x14ac:dyDescent="0.25">
      <c r="A398" s="68"/>
      <c r="F398" s="68"/>
      <c r="G398" s="2"/>
      <c r="H398" s="2"/>
      <c r="I398" s="72"/>
      <c r="J398" s="59"/>
      <c r="L398" s="68"/>
      <c r="N398" s="2"/>
      <c r="O398" s="2"/>
      <c r="P398" s="2"/>
      <c r="Q398" s="2"/>
      <c r="R398" s="2"/>
    </row>
    <row r="399" spans="1:18" s="1" customFormat="1" ht="20.100000000000001" customHeight="1" x14ac:dyDescent="0.25">
      <c r="A399" s="68"/>
      <c r="F399" s="68"/>
      <c r="G399" s="2"/>
      <c r="H399" s="2"/>
      <c r="I399" s="72"/>
      <c r="J399" s="59"/>
      <c r="L399" s="68"/>
      <c r="N399" s="2"/>
      <c r="O399" s="2"/>
      <c r="P399" s="2"/>
      <c r="Q399" s="2"/>
      <c r="R399" s="2"/>
    </row>
    <row r="400" spans="1:18" s="1" customFormat="1" ht="20.100000000000001" customHeight="1" x14ac:dyDescent="0.25">
      <c r="A400" s="68"/>
      <c r="F400" s="68"/>
      <c r="G400" s="2"/>
      <c r="H400" s="2"/>
      <c r="I400" s="72"/>
      <c r="J400" s="59"/>
      <c r="L400" s="68"/>
      <c r="N400" s="2"/>
      <c r="O400" s="2"/>
      <c r="P400" s="2"/>
      <c r="Q400" s="2"/>
      <c r="R400" s="2"/>
    </row>
    <row r="401" spans="1:18" s="1" customFormat="1" ht="20.100000000000001" customHeight="1" x14ac:dyDescent="0.25">
      <c r="A401" s="68"/>
      <c r="F401" s="68"/>
      <c r="G401" s="2"/>
      <c r="H401" s="2"/>
      <c r="I401" s="72"/>
      <c r="J401" s="59"/>
      <c r="L401" s="68"/>
      <c r="N401" s="2"/>
      <c r="O401" s="2"/>
      <c r="P401" s="2"/>
      <c r="Q401" s="2"/>
      <c r="R401" s="2"/>
    </row>
    <row r="402" spans="1:18" s="1" customFormat="1" ht="20.100000000000001" customHeight="1" x14ac:dyDescent="0.25">
      <c r="A402" s="68"/>
      <c r="F402" s="68"/>
      <c r="G402" s="2"/>
      <c r="H402" s="2"/>
      <c r="I402" s="72"/>
      <c r="J402" s="59"/>
      <c r="L402" s="68"/>
      <c r="N402" s="2"/>
      <c r="O402" s="2"/>
      <c r="P402" s="2"/>
      <c r="Q402" s="2"/>
      <c r="R402" s="2"/>
    </row>
    <row r="403" spans="1:18" s="1" customFormat="1" ht="20.100000000000001" customHeight="1" x14ac:dyDescent="0.25">
      <c r="A403" s="68"/>
      <c r="F403" s="68"/>
      <c r="G403" s="2"/>
      <c r="H403" s="2"/>
      <c r="I403" s="72"/>
      <c r="J403" s="59"/>
      <c r="L403" s="68"/>
      <c r="N403" s="2"/>
      <c r="O403" s="2"/>
      <c r="P403" s="2"/>
      <c r="Q403" s="2"/>
      <c r="R403" s="2"/>
    </row>
    <row r="404" spans="1:18" s="1" customFormat="1" ht="20.100000000000001" customHeight="1" x14ac:dyDescent="0.25">
      <c r="A404" s="68"/>
      <c r="F404" s="68"/>
      <c r="G404" s="2"/>
      <c r="H404" s="2"/>
      <c r="I404" s="72"/>
      <c r="J404" s="59"/>
      <c r="L404" s="68"/>
      <c r="N404" s="2"/>
      <c r="O404" s="2"/>
      <c r="P404" s="2"/>
      <c r="Q404" s="2"/>
      <c r="R404" s="2"/>
    </row>
    <row r="405" spans="1:18" s="1" customFormat="1" ht="20.100000000000001" customHeight="1" x14ac:dyDescent="0.25">
      <c r="A405" s="68"/>
      <c r="F405" s="68"/>
      <c r="G405" s="2"/>
      <c r="H405" s="2"/>
      <c r="I405" s="72"/>
      <c r="J405" s="59"/>
      <c r="L405" s="68"/>
      <c r="N405" s="2"/>
      <c r="O405" s="2"/>
      <c r="P405" s="2"/>
      <c r="Q405" s="2"/>
      <c r="R405" s="2"/>
    </row>
    <row r="406" spans="1:18" s="1" customFormat="1" ht="20.100000000000001" customHeight="1" x14ac:dyDescent="0.25">
      <c r="A406" s="68"/>
      <c r="F406" s="68"/>
      <c r="G406" s="2"/>
      <c r="H406" s="2"/>
      <c r="I406" s="72"/>
      <c r="J406" s="59"/>
      <c r="L406" s="68"/>
      <c r="N406" s="2"/>
      <c r="O406" s="2"/>
      <c r="P406" s="2"/>
      <c r="Q406" s="2"/>
      <c r="R406" s="2"/>
    </row>
    <row r="407" spans="1:18" s="1" customFormat="1" ht="20.100000000000001" customHeight="1" x14ac:dyDescent="0.25">
      <c r="A407" s="68"/>
      <c r="F407" s="68"/>
      <c r="G407" s="2"/>
      <c r="H407" s="2"/>
      <c r="I407" s="72"/>
      <c r="J407" s="59"/>
      <c r="L407" s="68"/>
      <c r="N407" s="2"/>
      <c r="O407" s="2"/>
      <c r="P407" s="2"/>
      <c r="Q407" s="2"/>
      <c r="R407" s="2"/>
    </row>
    <row r="408" spans="1:18" s="1" customFormat="1" ht="20.100000000000001" customHeight="1" x14ac:dyDescent="0.25">
      <c r="A408" s="68"/>
      <c r="F408" s="68"/>
      <c r="G408" s="2"/>
      <c r="H408" s="2"/>
      <c r="I408" s="72"/>
      <c r="J408" s="59"/>
      <c r="L408" s="68"/>
      <c r="N408" s="2"/>
      <c r="O408" s="2"/>
      <c r="P408" s="2"/>
      <c r="Q408" s="2"/>
      <c r="R408" s="2"/>
    </row>
    <row r="409" spans="1:18" s="1" customFormat="1" ht="20.100000000000001" customHeight="1" x14ac:dyDescent="0.25">
      <c r="A409" s="68"/>
      <c r="F409" s="68"/>
      <c r="G409" s="2"/>
      <c r="H409" s="2"/>
      <c r="I409" s="72"/>
      <c r="J409" s="59"/>
      <c r="L409" s="68"/>
      <c r="N409" s="2"/>
      <c r="O409" s="2"/>
      <c r="P409" s="2"/>
      <c r="Q409" s="2"/>
      <c r="R409" s="2"/>
    </row>
    <row r="410" spans="1:18" s="1" customFormat="1" ht="20.100000000000001" customHeight="1" x14ac:dyDescent="0.25">
      <c r="A410" s="68"/>
      <c r="F410" s="68"/>
      <c r="G410" s="2"/>
      <c r="H410" s="2"/>
      <c r="I410" s="72"/>
      <c r="J410" s="59"/>
      <c r="L410" s="68"/>
      <c r="N410" s="2"/>
      <c r="O410" s="2"/>
      <c r="P410" s="2"/>
      <c r="Q410" s="2"/>
      <c r="R410" s="2"/>
    </row>
    <row r="411" spans="1:18" s="1" customFormat="1" ht="20.100000000000001" customHeight="1" x14ac:dyDescent="0.25">
      <c r="A411" s="68"/>
      <c r="F411" s="68"/>
      <c r="G411" s="2"/>
      <c r="H411" s="2"/>
      <c r="I411" s="72"/>
      <c r="J411" s="59"/>
      <c r="L411" s="68"/>
      <c r="N411" s="2"/>
      <c r="O411" s="2"/>
      <c r="P411" s="2"/>
      <c r="Q411" s="2"/>
      <c r="R411" s="2"/>
    </row>
    <row r="412" spans="1:18" s="1" customFormat="1" ht="20.100000000000001" customHeight="1" x14ac:dyDescent="0.25">
      <c r="A412" s="68"/>
      <c r="F412" s="68"/>
      <c r="G412" s="2"/>
      <c r="H412" s="2"/>
      <c r="I412" s="72"/>
      <c r="J412" s="59"/>
      <c r="L412" s="68"/>
      <c r="N412" s="2"/>
      <c r="O412" s="2"/>
      <c r="P412" s="2"/>
      <c r="Q412" s="2"/>
      <c r="R412" s="2"/>
    </row>
    <row r="413" spans="1:18" s="1" customFormat="1" ht="20.100000000000001" customHeight="1" x14ac:dyDescent="0.25">
      <c r="A413" s="68"/>
      <c r="F413" s="68"/>
      <c r="G413" s="2"/>
      <c r="H413" s="2"/>
      <c r="I413" s="72"/>
      <c r="J413" s="59"/>
      <c r="L413" s="68"/>
      <c r="N413" s="2"/>
      <c r="O413" s="2"/>
      <c r="P413" s="2"/>
      <c r="Q413" s="2"/>
      <c r="R413" s="2"/>
    </row>
    <row r="414" spans="1:18" s="1" customFormat="1" ht="20.100000000000001" customHeight="1" x14ac:dyDescent="0.25">
      <c r="A414" s="68"/>
      <c r="F414" s="68"/>
      <c r="G414" s="2"/>
      <c r="H414" s="2"/>
      <c r="I414" s="72"/>
      <c r="J414" s="59"/>
      <c r="L414" s="68"/>
      <c r="N414" s="2"/>
      <c r="O414" s="2"/>
      <c r="P414" s="2"/>
      <c r="Q414" s="2"/>
      <c r="R414" s="2"/>
    </row>
    <row r="415" spans="1:18" s="1" customFormat="1" ht="20.100000000000001" customHeight="1" x14ac:dyDescent="0.25">
      <c r="A415" s="68"/>
      <c r="F415" s="68"/>
      <c r="G415" s="2"/>
      <c r="H415" s="2"/>
      <c r="I415" s="72"/>
      <c r="J415" s="59"/>
      <c r="L415" s="68"/>
      <c r="N415" s="2"/>
      <c r="O415" s="2"/>
      <c r="P415" s="2"/>
      <c r="Q415" s="2"/>
      <c r="R415" s="2"/>
    </row>
    <row r="416" spans="1:18" s="1" customFormat="1" ht="20.100000000000001" customHeight="1" x14ac:dyDescent="0.25">
      <c r="A416" s="68"/>
      <c r="F416" s="68"/>
      <c r="G416" s="2"/>
      <c r="H416" s="2"/>
      <c r="I416" s="72"/>
      <c r="J416" s="59"/>
      <c r="L416" s="68"/>
      <c r="N416" s="2"/>
      <c r="O416" s="2"/>
      <c r="P416" s="2"/>
      <c r="Q416" s="2"/>
      <c r="R416" s="2"/>
    </row>
    <row r="417" spans="1:18" s="1" customFormat="1" ht="20.100000000000001" customHeight="1" x14ac:dyDescent="0.25">
      <c r="A417" s="68"/>
      <c r="F417" s="68"/>
      <c r="G417" s="2"/>
      <c r="H417" s="2"/>
      <c r="I417" s="72"/>
      <c r="J417" s="59"/>
      <c r="L417" s="68"/>
      <c r="N417" s="2"/>
      <c r="O417" s="2"/>
      <c r="P417" s="2"/>
      <c r="Q417" s="2"/>
      <c r="R417" s="2"/>
    </row>
    <row r="418" spans="1:18" s="1" customFormat="1" ht="20.100000000000001" customHeight="1" x14ac:dyDescent="0.25">
      <c r="A418" s="68"/>
      <c r="F418" s="68"/>
      <c r="G418" s="2"/>
      <c r="H418" s="2"/>
      <c r="I418" s="72"/>
      <c r="J418" s="59"/>
      <c r="L418" s="68"/>
      <c r="N418" s="2"/>
      <c r="O418" s="2"/>
      <c r="P418" s="2"/>
      <c r="Q418" s="2"/>
      <c r="R418" s="2"/>
    </row>
    <row r="419" spans="1:18" s="1" customFormat="1" ht="20.100000000000001" customHeight="1" x14ac:dyDescent="0.25">
      <c r="A419" s="68"/>
      <c r="F419" s="68"/>
      <c r="G419" s="2"/>
      <c r="H419" s="2"/>
      <c r="I419" s="72"/>
      <c r="J419" s="59"/>
      <c r="L419" s="68"/>
      <c r="N419" s="2"/>
      <c r="O419" s="2"/>
      <c r="P419" s="2"/>
      <c r="Q419" s="2"/>
      <c r="R419" s="2"/>
    </row>
    <row r="420" spans="1:18" s="1" customFormat="1" ht="20.100000000000001" customHeight="1" x14ac:dyDescent="0.25">
      <c r="A420" s="68"/>
      <c r="F420" s="68"/>
      <c r="G420" s="2"/>
      <c r="H420" s="2"/>
      <c r="I420" s="72"/>
      <c r="J420" s="59"/>
      <c r="L420" s="68"/>
      <c r="N420" s="2"/>
      <c r="O420" s="2"/>
      <c r="P420" s="2"/>
      <c r="Q420" s="2"/>
      <c r="R420" s="2"/>
    </row>
    <row r="421" spans="1:18" s="1" customFormat="1" ht="20.100000000000001" customHeight="1" x14ac:dyDescent="0.25">
      <c r="A421" s="68"/>
      <c r="F421" s="68"/>
      <c r="G421" s="2"/>
      <c r="H421" s="2"/>
      <c r="I421" s="72"/>
      <c r="J421" s="59"/>
      <c r="L421" s="68"/>
      <c r="N421" s="2"/>
      <c r="O421" s="2"/>
      <c r="P421" s="2"/>
      <c r="Q421" s="2"/>
      <c r="R421" s="2"/>
    </row>
    <row r="422" spans="1:18" s="1" customFormat="1" ht="20.100000000000001" customHeight="1" x14ac:dyDescent="0.25">
      <c r="A422" s="68"/>
      <c r="F422" s="68"/>
      <c r="G422" s="2"/>
      <c r="H422" s="2"/>
      <c r="I422" s="72"/>
      <c r="J422" s="59"/>
      <c r="L422" s="68"/>
      <c r="N422" s="2"/>
      <c r="O422" s="2"/>
      <c r="P422" s="2"/>
      <c r="Q422" s="2"/>
      <c r="R422" s="2"/>
    </row>
    <row r="423" spans="1:18" s="1" customFormat="1" ht="20.100000000000001" customHeight="1" x14ac:dyDescent="0.25">
      <c r="A423" s="68"/>
      <c r="F423" s="68"/>
      <c r="G423" s="2"/>
      <c r="H423" s="2"/>
      <c r="I423" s="72"/>
      <c r="J423" s="59"/>
      <c r="L423" s="68"/>
      <c r="N423" s="2"/>
      <c r="O423" s="2"/>
      <c r="P423" s="2"/>
      <c r="Q423" s="2"/>
      <c r="R423" s="2"/>
    </row>
    <row r="424" spans="1:18" s="1" customFormat="1" ht="20.100000000000001" customHeight="1" x14ac:dyDescent="0.25">
      <c r="A424" s="68"/>
      <c r="F424" s="68"/>
      <c r="G424" s="2"/>
      <c r="H424" s="2"/>
      <c r="I424" s="72"/>
      <c r="J424" s="59"/>
      <c r="L424" s="68"/>
      <c r="N424" s="2"/>
      <c r="O424" s="2"/>
      <c r="P424" s="2"/>
      <c r="Q424" s="2"/>
      <c r="R424" s="2"/>
    </row>
    <row r="425" spans="1:18" s="1" customFormat="1" ht="20.100000000000001" customHeight="1" x14ac:dyDescent="0.25">
      <c r="A425" s="68"/>
      <c r="F425" s="68"/>
      <c r="G425" s="2"/>
      <c r="H425" s="2"/>
      <c r="I425" s="72"/>
      <c r="J425" s="59"/>
      <c r="L425" s="68"/>
      <c r="N425" s="2"/>
      <c r="O425" s="2"/>
      <c r="P425" s="2"/>
      <c r="Q425" s="2"/>
      <c r="R425" s="2"/>
    </row>
    <row r="426" spans="1:18" s="1" customFormat="1" ht="20.100000000000001" customHeight="1" x14ac:dyDescent="0.25">
      <c r="A426" s="68"/>
      <c r="F426" s="68"/>
      <c r="G426" s="2"/>
      <c r="H426" s="2"/>
      <c r="I426" s="72"/>
      <c r="J426" s="59"/>
      <c r="L426" s="68"/>
      <c r="N426" s="2"/>
      <c r="O426" s="2"/>
      <c r="P426" s="2"/>
      <c r="Q426" s="2"/>
      <c r="R426" s="2"/>
    </row>
    <row r="427" spans="1:18" s="1" customFormat="1" ht="20.100000000000001" customHeight="1" x14ac:dyDescent="0.25">
      <c r="A427" s="68"/>
      <c r="F427" s="68"/>
      <c r="G427" s="2"/>
      <c r="H427" s="2"/>
      <c r="I427" s="72"/>
      <c r="J427" s="59"/>
      <c r="L427" s="68"/>
      <c r="N427" s="2"/>
      <c r="O427" s="2"/>
      <c r="P427" s="2"/>
      <c r="Q427" s="2"/>
      <c r="R427" s="2"/>
    </row>
    <row r="428" spans="1:18" s="1" customFormat="1" ht="20.100000000000001" customHeight="1" x14ac:dyDescent="0.25">
      <c r="A428" s="68"/>
      <c r="F428" s="68"/>
      <c r="G428" s="2"/>
      <c r="H428" s="2"/>
      <c r="I428" s="72"/>
      <c r="J428" s="59"/>
      <c r="L428" s="68"/>
      <c r="N428" s="2"/>
      <c r="O428" s="2"/>
      <c r="P428" s="2"/>
      <c r="Q428" s="2"/>
      <c r="R428" s="2"/>
    </row>
    <row r="429" spans="1:18" s="1" customFormat="1" ht="20.100000000000001" customHeight="1" x14ac:dyDescent="0.25">
      <c r="A429" s="68"/>
      <c r="F429" s="68"/>
      <c r="G429" s="2"/>
      <c r="H429" s="2"/>
      <c r="I429" s="72"/>
      <c r="J429" s="59"/>
      <c r="L429" s="68"/>
      <c r="N429" s="2"/>
      <c r="O429" s="2"/>
      <c r="P429" s="2"/>
      <c r="Q429" s="2"/>
      <c r="R429" s="2"/>
    </row>
    <row r="430" spans="1:18" s="1" customFormat="1" ht="20.100000000000001" customHeight="1" x14ac:dyDescent="0.25">
      <c r="A430" s="68"/>
      <c r="F430" s="68"/>
      <c r="G430" s="2"/>
      <c r="H430" s="2"/>
      <c r="I430" s="72"/>
      <c r="J430" s="59"/>
      <c r="L430" s="68"/>
      <c r="N430" s="2"/>
      <c r="O430" s="2"/>
      <c r="P430" s="2"/>
      <c r="Q430" s="2"/>
      <c r="R430" s="2"/>
    </row>
    <row r="431" spans="1:18" s="1" customFormat="1" ht="20.100000000000001" customHeight="1" x14ac:dyDescent="0.25">
      <c r="A431" s="68"/>
      <c r="F431" s="68"/>
      <c r="G431" s="2"/>
      <c r="H431" s="2"/>
      <c r="I431" s="72"/>
      <c r="J431" s="59"/>
      <c r="L431" s="68"/>
      <c r="N431" s="2"/>
      <c r="O431" s="2"/>
      <c r="P431" s="2"/>
      <c r="Q431" s="2"/>
      <c r="R431" s="2"/>
    </row>
    <row r="432" spans="1:18" s="1" customFormat="1" ht="20.100000000000001" customHeight="1" x14ac:dyDescent="0.25">
      <c r="A432" s="68"/>
      <c r="F432" s="68"/>
      <c r="G432" s="2"/>
      <c r="H432" s="2"/>
      <c r="I432" s="72"/>
      <c r="J432" s="59"/>
      <c r="L432" s="68"/>
      <c r="N432" s="2"/>
      <c r="O432" s="2"/>
      <c r="P432" s="2"/>
      <c r="Q432" s="2"/>
      <c r="R432" s="2"/>
    </row>
    <row r="433" spans="1:18" s="1" customFormat="1" ht="20.100000000000001" customHeight="1" x14ac:dyDescent="0.25">
      <c r="A433" s="68"/>
      <c r="F433" s="68"/>
      <c r="G433" s="2"/>
      <c r="H433" s="2"/>
      <c r="I433" s="72"/>
      <c r="J433" s="59"/>
      <c r="L433" s="68"/>
      <c r="N433" s="2"/>
      <c r="O433" s="2"/>
      <c r="P433" s="2"/>
      <c r="Q433" s="2"/>
      <c r="R433" s="2"/>
    </row>
    <row r="434" spans="1:18" s="1" customFormat="1" ht="20.100000000000001" customHeight="1" x14ac:dyDescent="0.25">
      <c r="A434" s="68"/>
      <c r="F434" s="68"/>
      <c r="G434" s="2"/>
      <c r="H434" s="2"/>
      <c r="I434" s="72"/>
      <c r="J434" s="59"/>
      <c r="L434" s="68"/>
      <c r="N434" s="2"/>
      <c r="O434" s="2"/>
      <c r="P434" s="2"/>
      <c r="Q434" s="2"/>
      <c r="R434" s="2"/>
    </row>
    <row r="435" spans="1:18" s="1" customFormat="1" ht="20.100000000000001" customHeight="1" x14ac:dyDescent="0.25">
      <c r="A435" s="68"/>
      <c r="F435" s="68"/>
      <c r="G435" s="2"/>
      <c r="H435" s="2"/>
      <c r="I435" s="72"/>
      <c r="J435" s="59"/>
      <c r="L435" s="68"/>
      <c r="N435" s="2"/>
      <c r="O435" s="2"/>
      <c r="P435" s="2"/>
      <c r="Q435" s="2"/>
      <c r="R435" s="2"/>
    </row>
    <row r="436" spans="1:18" s="1" customFormat="1" ht="20.100000000000001" customHeight="1" x14ac:dyDescent="0.25">
      <c r="A436" s="68"/>
      <c r="F436" s="68"/>
      <c r="G436" s="2"/>
      <c r="H436" s="2"/>
      <c r="I436" s="72"/>
      <c r="J436" s="59"/>
      <c r="L436" s="68"/>
      <c r="N436" s="2"/>
      <c r="O436" s="2"/>
      <c r="P436" s="2"/>
      <c r="Q436" s="2"/>
      <c r="R436" s="2"/>
    </row>
    <row r="437" spans="1:18" s="1" customFormat="1" ht="20.100000000000001" customHeight="1" x14ac:dyDescent="0.25">
      <c r="A437" s="68"/>
      <c r="F437" s="68"/>
      <c r="G437" s="2"/>
      <c r="H437" s="2"/>
      <c r="I437" s="72"/>
      <c r="J437" s="59"/>
      <c r="L437" s="68"/>
      <c r="N437" s="2"/>
      <c r="O437" s="2"/>
      <c r="P437" s="2"/>
      <c r="Q437" s="2"/>
      <c r="R437" s="2"/>
    </row>
    <row r="438" spans="1:18" s="1" customFormat="1" ht="20.100000000000001" customHeight="1" x14ac:dyDescent="0.25">
      <c r="A438" s="68"/>
      <c r="F438" s="68"/>
      <c r="G438" s="2"/>
      <c r="H438" s="2"/>
      <c r="I438" s="72"/>
      <c r="J438" s="59"/>
      <c r="L438" s="68"/>
      <c r="N438" s="2"/>
      <c r="O438" s="2"/>
      <c r="P438" s="2"/>
      <c r="Q438" s="2"/>
      <c r="R438" s="2"/>
    </row>
    <row r="439" spans="1:18" s="1" customFormat="1" ht="20.100000000000001" customHeight="1" x14ac:dyDescent="0.25">
      <c r="A439" s="68"/>
      <c r="F439" s="68"/>
      <c r="G439" s="2"/>
      <c r="H439" s="2"/>
      <c r="I439" s="72"/>
      <c r="J439" s="59"/>
      <c r="L439" s="68"/>
      <c r="N439" s="2"/>
      <c r="O439" s="2"/>
      <c r="P439" s="2"/>
      <c r="Q439" s="2"/>
      <c r="R439" s="2"/>
    </row>
    <row r="440" spans="1:18" s="1" customFormat="1" ht="20.100000000000001" customHeight="1" x14ac:dyDescent="0.25">
      <c r="A440" s="68"/>
      <c r="F440" s="68"/>
      <c r="G440" s="2"/>
      <c r="H440" s="2"/>
      <c r="I440" s="72"/>
      <c r="J440" s="59"/>
      <c r="L440" s="68"/>
      <c r="N440" s="2"/>
      <c r="O440" s="2"/>
      <c r="P440" s="2"/>
      <c r="Q440" s="2"/>
      <c r="R440" s="2"/>
    </row>
    <row r="441" spans="1:18" s="1" customFormat="1" ht="20.100000000000001" customHeight="1" x14ac:dyDescent="0.25">
      <c r="A441" s="68"/>
      <c r="F441" s="68"/>
      <c r="G441" s="2"/>
      <c r="H441" s="2"/>
      <c r="I441" s="72"/>
      <c r="J441" s="59"/>
      <c r="L441" s="68"/>
      <c r="N441" s="2"/>
      <c r="O441" s="2"/>
      <c r="P441" s="2"/>
      <c r="Q441" s="2"/>
      <c r="R441" s="2"/>
    </row>
    <row r="442" spans="1:18" s="1" customFormat="1" ht="20.100000000000001" customHeight="1" x14ac:dyDescent="0.25">
      <c r="A442" s="68"/>
      <c r="F442" s="68"/>
      <c r="G442" s="2"/>
      <c r="H442" s="2"/>
      <c r="I442" s="72"/>
      <c r="J442" s="59"/>
      <c r="L442" s="68"/>
      <c r="N442" s="2"/>
      <c r="O442" s="2"/>
      <c r="P442" s="2"/>
      <c r="Q442" s="2"/>
      <c r="R442" s="2"/>
    </row>
    <row r="443" spans="1:18" s="1" customFormat="1" ht="20.100000000000001" customHeight="1" x14ac:dyDescent="0.25">
      <c r="A443" s="68"/>
      <c r="F443" s="68"/>
      <c r="G443" s="2"/>
      <c r="H443" s="2"/>
      <c r="I443" s="72"/>
      <c r="J443" s="59"/>
      <c r="L443" s="68"/>
      <c r="N443" s="2"/>
      <c r="O443" s="2"/>
      <c r="P443" s="2"/>
      <c r="Q443" s="2"/>
      <c r="R443" s="2"/>
    </row>
    <row r="444" spans="1:18" s="1" customFormat="1" ht="20.100000000000001" customHeight="1" x14ac:dyDescent="0.25">
      <c r="A444" s="68"/>
      <c r="F444" s="68"/>
      <c r="G444" s="2"/>
      <c r="H444" s="2"/>
      <c r="I444" s="72"/>
      <c r="J444" s="59"/>
      <c r="L444" s="68"/>
      <c r="N444" s="2"/>
      <c r="O444" s="2"/>
      <c r="P444" s="2"/>
      <c r="Q444" s="2"/>
      <c r="R444" s="2"/>
    </row>
    <row r="445" spans="1:18" s="1" customFormat="1" ht="20.100000000000001" customHeight="1" x14ac:dyDescent="0.25">
      <c r="A445" s="68"/>
      <c r="F445" s="68"/>
      <c r="G445" s="2"/>
      <c r="H445" s="2"/>
      <c r="I445" s="72"/>
      <c r="J445" s="59"/>
      <c r="L445" s="68"/>
      <c r="N445" s="2"/>
      <c r="O445" s="2"/>
      <c r="P445" s="2"/>
      <c r="Q445" s="2"/>
      <c r="R445" s="2"/>
    </row>
    <row r="446" spans="1:18" s="1" customFormat="1" ht="20.100000000000001" customHeight="1" x14ac:dyDescent="0.25">
      <c r="A446" s="68"/>
      <c r="F446" s="68"/>
      <c r="G446" s="2"/>
      <c r="H446" s="2"/>
      <c r="I446" s="72"/>
      <c r="J446" s="59"/>
      <c r="L446" s="68"/>
      <c r="N446" s="2"/>
      <c r="O446" s="2"/>
      <c r="P446" s="2"/>
      <c r="Q446" s="2"/>
      <c r="R446" s="2"/>
    </row>
    <row r="447" spans="1:18" s="1" customFormat="1" ht="20.100000000000001" customHeight="1" x14ac:dyDescent="0.25">
      <c r="A447" s="68"/>
      <c r="F447" s="68"/>
      <c r="G447" s="2"/>
      <c r="H447" s="2"/>
      <c r="I447" s="72"/>
      <c r="J447" s="59"/>
      <c r="L447" s="68"/>
      <c r="N447" s="2"/>
      <c r="O447" s="2"/>
      <c r="P447" s="2"/>
      <c r="Q447" s="2"/>
      <c r="R447" s="2"/>
    </row>
    <row r="448" spans="1:18" s="1" customFormat="1" ht="20.100000000000001" customHeight="1" x14ac:dyDescent="0.25">
      <c r="A448" s="68"/>
      <c r="F448" s="68"/>
      <c r="G448" s="2"/>
      <c r="H448" s="2"/>
      <c r="I448" s="72"/>
      <c r="J448" s="59"/>
      <c r="L448" s="68"/>
      <c r="N448" s="2"/>
      <c r="O448" s="2"/>
      <c r="P448" s="2"/>
      <c r="Q448" s="2"/>
      <c r="R448" s="2"/>
    </row>
    <row r="449" spans="1:18" s="1" customFormat="1" ht="20.100000000000001" customHeight="1" x14ac:dyDescent="0.25">
      <c r="A449" s="68"/>
      <c r="F449" s="68"/>
      <c r="G449" s="2"/>
      <c r="H449" s="2"/>
      <c r="I449" s="72"/>
      <c r="J449" s="59"/>
      <c r="L449" s="68"/>
      <c r="N449" s="2"/>
      <c r="O449" s="2"/>
      <c r="P449" s="2"/>
      <c r="Q449" s="2"/>
      <c r="R449" s="2"/>
    </row>
    <row r="450" spans="1:18" s="1" customFormat="1" ht="20.100000000000001" customHeight="1" x14ac:dyDescent="0.25">
      <c r="A450" s="68"/>
      <c r="F450" s="68"/>
      <c r="G450" s="2"/>
      <c r="H450" s="2"/>
      <c r="I450" s="72"/>
      <c r="J450" s="59"/>
      <c r="L450" s="68"/>
      <c r="N450" s="2"/>
      <c r="O450" s="2"/>
      <c r="P450" s="2"/>
      <c r="Q450" s="2"/>
      <c r="R450" s="2"/>
    </row>
    <row r="451" spans="1:18" s="1" customFormat="1" ht="20.100000000000001" customHeight="1" x14ac:dyDescent="0.25">
      <c r="A451" s="68"/>
      <c r="F451" s="68"/>
      <c r="G451" s="2"/>
      <c r="H451" s="2"/>
      <c r="I451" s="72"/>
      <c r="J451" s="59"/>
      <c r="L451" s="68"/>
      <c r="N451" s="2"/>
      <c r="O451" s="2"/>
      <c r="P451" s="2"/>
      <c r="Q451" s="2"/>
      <c r="R451" s="2"/>
    </row>
    <row r="452" spans="1:18" s="1" customFormat="1" ht="20.100000000000001" customHeight="1" x14ac:dyDescent="0.25">
      <c r="A452" s="68"/>
      <c r="F452" s="68"/>
      <c r="G452" s="2"/>
      <c r="H452" s="2"/>
      <c r="I452" s="72"/>
      <c r="J452" s="59"/>
      <c r="L452" s="68"/>
      <c r="N452" s="2"/>
      <c r="O452" s="2"/>
      <c r="P452" s="2"/>
      <c r="Q452" s="2"/>
      <c r="R452" s="2"/>
    </row>
    <row r="453" spans="1:18" s="1" customFormat="1" ht="20.100000000000001" customHeight="1" x14ac:dyDescent="0.25">
      <c r="A453" s="68"/>
      <c r="F453" s="68"/>
      <c r="G453" s="2"/>
      <c r="H453" s="2"/>
      <c r="I453" s="72"/>
      <c r="J453" s="59"/>
      <c r="L453" s="68"/>
      <c r="N453" s="2"/>
      <c r="O453" s="2"/>
      <c r="P453" s="2"/>
      <c r="Q453" s="2"/>
      <c r="R453" s="2"/>
    </row>
    <row r="454" spans="1:18" s="1" customFormat="1" ht="20.100000000000001" customHeight="1" x14ac:dyDescent="0.25">
      <c r="A454" s="68"/>
      <c r="F454" s="68"/>
      <c r="G454" s="2"/>
      <c r="H454" s="2"/>
      <c r="I454" s="72"/>
      <c r="J454" s="59"/>
      <c r="L454" s="68"/>
      <c r="N454" s="2"/>
      <c r="O454" s="2"/>
      <c r="P454" s="2"/>
      <c r="Q454" s="2"/>
      <c r="R454" s="2"/>
    </row>
    <row r="455" spans="1:18" s="1" customFormat="1" ht="20.100000000000001" customHeight="1" x14ac:dyDescent="0.25">
      <c r="A455" s="68"/>
      <c r="F455" s="68"/>
      <c r="G455" s="2"/>
      <c r="H455" s="2"/>
      <c r="I455" s="72"/>
      <c r="J455" s="59"/>
      <c r="L455" s="68"/>
      <c r="N455" s="2"/>
      <c r="O455" s="2"/>
      <c r="P455" s="2"/>
      <c r="Q455" s="2"/>
      <c r="R455" s="2"/>
    </row>
    <row r="456" spans="1:18" s="1" customFormat="1" ht="20.100000000000001" customHeight="1" x14ac:dyDescent="0.25">
      <c r="A456" s="68"/>
      <c r="F456" s="68"/>
      <c r="G456" s="2"/>
      <c r="H456" s="2"/>
      <c r="I456" s="72"/>
      <c r="J456" s="59"/>
      <c r="L456" s="68"/>
      <c r="N456" s="2"/>
      <c r="O456" s="2"/>
      <c r="P456" s="2"/>
      <c r="Q456" s="2"/>
      <c r="R456" s="2"/>
    </row>
    <row r="457" spans="1:18" s="1" customFormat="1" ht="20.100000000000001" customHeight="1" x14ac:dyDescent="0.25">
      <c r="A457" s="68"/>
      <c r="F457" s="68"/>
      <c r="G457" s="2"/>
      <c r="H457" s="2"/>
      <c r="I457" s="72"/>
      <c r="J457" s="59"/>
      <c r="L457" s="68"/>
      <c r="N457" s="2"/>
      <c r="O457" s="2"/>
      <c r="P457" s="2"/>
      <c r="Q457" s="2"/>
      <c r="R457" s="2"/>
    </row>
    <row r="458" spans="1:18" s="1" customFormat="1" ht="20.100000000000001" customHeight="1" x14ac:dyDescent="0.25">
      <c r="A458" s="68"/>
      <c r="F458" s="68"/>
      <c r="G458" s="2"/>
      <c r="H458" s="2"/>
      <c r="I458" s="72"/>
      <c r="J458" s="59"/>
      <c r="L458" s="68"/>
      <c r="N458" s="2"/>
      <c r="O458" s="2"/>
      <c r="P458" s="2"/>
      <c r="Q458" s="2"/>
      <c r="R458" s="2"/>
    </row>
    <row r="459" spans="1:18" s="1" customFormat="1" ht="20.100000000000001" customHeight="1" x14ac:dyDescent="0.25">
      <c r="A459" s="68"/>
      <c r="F459" s="68"/>
      <c r="G459" s="2"/>
      <c r="H459" s="2"/>
      <c r="I459" s="72"/>
      <c r="J459" s="59"/>
      <c r="L459" s="68"/>
      <c r="N459" s="2"/>
      <c r="O459" s="2"/>
      <c r="P459" s="2"/>
      <c r="Q459" s="2"/>
      <c r="R459" s="2"/>
    </row>
    <row r="460" spans="1:18" s="1" customFormat="1" ht="20.100000000000001" customHeight="1" x14ac:dyDescent="0.25">
      <c r="A460" s="68"/>
      <c r="F460" s="68"/>
      <c r="G460" s="2"/>
      <c r="H460" s="2"/>
      <c r="I460" s="72"/>
      <c r="J460" s="59"/>
      <c r="L460" s="68"/>
      <c r="N460" s="2"/>
      <c r="O460" s="2"/>
      <c r="P460" s="2"/>
      <c r="Q460" s="2"/>
      <c r="R460" s="2"/>
    </row>
    <row r="461" spans="1:18" s="1" customFormat="1" ht="20.100000000000001" customHeight="1" x14ac:dyDescent="0.25">
      <c r="A461" s="68"/>
      <c r="F461" s="68"/>
      <c r="G461" s="2"/>
      <c r="H461" s="2"/>
      <c r="I461" s="72"/>
      <c r="J461" s="59"/>
      <c r="L461" s="68"/>
      <c r="N461" s="2"/>
      <c r="O461" s="2"/>
      <c r="P461" s="2"/>
      <c r="Q461" s="2"/>
      <c r="R461" s="2"/>
    </row>
    <row r="462" spans="1:18" s="1" customFormat="1" ht="20.100000000000001" customHeight="1" x14ac:dyDescent="0.25">
      <c r="A462" s="68"/>
      <c r="F462" s="68"/>
      <c r="G462" s="2"/>
      <c r="H462" s="2"/>
      <c r="I462" s="72"/>
      <c r="J462" s="59"/>
      <c r="L462" s="68"/>
      <c r="N462" s="2"/>
      <c r="O462" s="2"/>
      <c r="P462" s="2"/>
      <c r="Q462" s="2"/>
      <c r="R462" s="2"/>
    </row>
    <row r="463" spans="1:18" s="1" customFormat="1" ht="20.100000000000001" customHeight="1" x14ac:dyDescent="0.25">
      <c r="A463" s="68"/>
      <c r="F463" s="68"/>
      <c r="G463" s="2"/>
      <c r="H463" s="2"/>
      <c r="I463" s="72"/>
      <c r="J463" s="59"/>
      <c r="L463" s="68"/>
      <c r="N463" s="2"/>
      <c r="O463" s="2"/>
      <c r="P463" s="2"/>
      <c r="Q463" s="2"/>
      <c r="R463" s="2"/>
    </row>
    <row r="464" spans="1:18" s="1" customFormat="1" ht="20.100000000000001" customHeight="1" x14ac:dyDescent="0.25">
      <c r="A464" s="68"/>
      <c r="F464" s="68"/>
      <c r="G464" s="2"/>
      <c r="H464" s="2"/>
      <c r="I464" s="72"/>
      <c r="J464" s="59"/>
      <c r="L464" s="68"/>
      <c r="N464" s="2"/>
      <c r="O464" s="2"/>
      <c r="P464" s="2"/>
      <c r="Q464" s="2"/>
      <c r="R464" s="2"/>
    </row>
    <row r="465" spans="1:18" s="1" customFormat="1" ht="20.100000000000001" customHeight="1" x14ac:dyDescent="0.25">
      <c r="A465" s="68"/>
      <c r="F465" s="68"/>
      <c r="G465" s="2"/>
      <c r="H465" s="2"/>
      <c r="I465" s="72"/>
      <c r="J465" s="59"/>
      <c r="L465" s="68"/>
      <c r="N465" s="2"/>
      <c r="O465" s="2"/>
      <c r="P465" s="2"/>
      <c r="Q465" s="2"/>
      <c r="R465" s="2"/>
    </row>
    <row r="466" spans="1:18" s="1" customFormat="1" ht="20.100000000000001" customHeight="1" x14ac:dyDescent="0.25">
      <c r="A466" s="68"/>
      <c r="F466" s="68"/>
      <c r="G466" s="2"/>
      <c r="H466" s="2"/>
      <c r="I466" s="72"/>
      <c r="J466" s="59"/>
      <c r="L466" s="68"/>
      <c r="N466" s="2"/>
      <c r="O466" s="2"/>
      <c r="P466" s="2"/>
      <c r="Q466" s="2"/>
      <c r="R466" s="2"/>
    </row>
    <row r="467" spans="1:18" s="1" customFormat="1" ht="20.100000000000001" customHeight="1" x14ac:dyDescent="0.25">
      <c r="A467" s="68"/>
      <c r="F467" s="68"/>
      <c r="G467" s="2"/>
      <c r="H467" s="2"/>
      <c r="I467" s="72"/>
      <c r="J467" s="59"/>
      <c r="L467" s="68"/>
      <c r="N467" s="2"/>
      <c r="O467" s="2"/>
      <c r="P467" s="2"/>
      <c r="Q467" s="2"/>
      <c r="R467" s="2"/>
    </row>
    <row r="468" spans="1:18" s="1" customFormat="1" ht="20.100000000000001" customHeight="1" x14ac:dyDescent="0.25">
      <c r="A468" s="68"/>
      <c r="F468" s="68"/>
      <c r="G468" s="2"/>
      <c r="H468" s="2"/>
      <c r="I468" s="72"/>
      <c r="J468" s="59"/>
      <c r="L468" s="68"/>
      <c r="N468" s="2"/>
      <c r="O468" s="2"/>
      <c r="P468" s="2"/>
      <c r="Q468" s="2"/>
      <c r="R468" s="2"/>
    </row>
    <row r="469" spans="1:18" s="1" customFormat="1" ht="20.100000000000001" customHeight="1" x14ac:dyDescent="0.25">
      <c r="A469" s="68"/>
      <c r="F469" s="68"/>
      <c r="G469" s="2"/>
      <c r="H469" s="2"/>
      <c r="I469" s="72"/>
      <c r="J469" s="59"/>
      <c r="L469" s="68"/>
      <c r="N469" s="2"/>
      <c r="O469" s="2"/>
      <c r="P469" s="2"/>
      <c r="Q469" s="2"/>
      <c r="R469" s="2"/>
    </row>
    <row r="470" spans="1:18" s="1" customFormat="1" ht="20.100000000000001" customHeight="1" x14ac:dyDescent="0.25">
      <c r="A470" s="68"/>
      <c r="F470" s="68"/>
      <c r="G470" s="2"/>
      <c r="H470" s="2"/>
      <c r="I470" s="72"/>
      <c r="J470" s="59"/>
      <c r="L470" s="68"/>
      <c r="N470" s="2"/>
      <c r="O470" s="2"/>
      <c r="P470" s="2"/>
      <c r="Q470" s="2"/>
      <c r="R470" s="2"/>
    </row>
    <row r="471" spans="1:18" s="1" customFormat="1" ht="20.100000000000001" customHeight="1" x14ac:dyDescent="0.25">
      <c r="A471" s="68"/>
      <c r="F471" s="68"/>
      <c r="G471" s="2"/>
      <c r="H471" s="2"/>
      <c r="I471" s="72"/>
      <c r="J471" s="59"/>
      <c r="L471" s="68"/>
      <c r="N471" s="2"/>
      <c r="O471" s="2"/>
      <c r="P471" s="2"/>
      <c r="Q471" s="2"/>
      <c r="R471" s="2"/>
    </row>
    <row r="472" spans="1:18" s="1" customFormat="1" ht="20.100000000000001" customHeight="1" x14ac:dyDescent="0.25">
      <c r="A472" s="68"/>
      <c r="F472" s="68"/>
      <c r="G472" s="2"/>
      <c r="H472" s="2"/>
      <c r="I472" s="72"/>
      <c r="J472" s="59"/>
      <c r="L472" s="68"/>
      <c r="N472" s="2"/>
      <c r="O472" s="2"/>
      <c r="P472" s="2"/>
      <c r="Q472" s="2"/>
      <c r="R472" s="2"/>
    </row>
    <row r="473" spans="1:18" s="1" customFormat="1" ht="20.100000000000001" customHeight="1" x14ac:dyDescent="0.25">
      <c r="A473" s="68"/>
      <c r="F473" s="68"/>
      <c r="G473" s="2"/>
      <c r="H473" s="2"/>
      <c r="I473" s="72"/>
      <c r="J473" s="59"/>
      <c r="L473" s="68"/>
      <c r="N473" s="2"/>
      <c r="O473" s="2"/>
      <c r="P473" s="2"/>
      <c r="Q473" s="2"/>
      <c r="R473" s="2"/>
    </row>
    <row r="474" spans="1:18" s="1" customFormat="1" ht="20.100000000000001" customHeight="1" x14ac:dyDescent="0.25">
      <c r="A474" s="68"/>
      <c r="F474" s="68"/>
      <c r="G474" s="2"/>
      <c r="H474" s="2"/>
      <c r="I474" s="72"/>
      <c r="J474" s="59"/>
      <c r="L474" s="68"/>
      <c r="N474" s="2"/>
      <c r="O474" s="2"/>
      <c r="P474" s="2"/>
      <c r="Q474" s="2"/>
      <c r="R474" s="2"/>
    </row>
    <row r="475" spans="1:18" s="1" customFormat="1" ht="20.100000000000001" customHeight="1" x14ac:dyDescent="0.25">
      <c r="A475" s="68"/>
      <c r="F475" s="68"/>
      <c r="G475" s="2"/>
      <c r="H475" s="2"/>
      <c r="I475" s="72"/>
      <c r="J475" s="59"/>
      <c r="L475" s="68"/>
      <c r="N475" s="2"/>
      <c r="O475" s="2"/>
      <c r="P475" s="2"/>
      <c r="Q475" s="2"/>
      <c r="R475" s="2"/>
    </row>
    <row r="476" spans="1:18" s="1" customFormat="1" ht="20.100000000000001" customHeight="1" x14ac:dyDescent="0.25">
      <c r="A476" s="68"/>
      <c r="F476" s="68"/>
      <c r="G476" s="2"/>
      <c r="H476" s="2"/>
      <c r="I476" s="72"/>
      <c r="J476" s="59"/>
      <c r="L476" s="68"/>
      <c r="N476" s="2"/>
      <c r="O476" s="2"/>
      <c r="P476" s="2"/>
      <c r="Q476" s="2"/>
      <c r="R476" s="2"/>
    </row>
    <row r="477" spans="1:18" s="1" customFormat="1" ht="20.100000000000001" customHeight="1" x14ac:dyDescent="0.25">
      <c r="A477" s="68"/>
      <c r="F477" s="68"/>
      <c r="G477" s="2"/>
      <c r="H477" s="2"/>
      <c r="I477" s="72"/>
      <c r="J477" s="59"/>
      <c r="L477" s="68"/>
      <c r="N477" s="2"/>
      <c r="O477" s="2"/>
      <c r="P477" s="2"/>
      <c r="Q477" s="2"/>
      <c r="R477" s="2"/>
    </row>
    <row r="478" spans="1:18" s="1" customFormat="1" ht="20.100000000000001" customHeight="1" x14ac:dyDescent="0.25">
      <c r="A478" s="68"/>
      <c r="F478" s="68"/>
      <c r="G478" s="2"/>
      <c r="H478" s="2"/>
      <c r="I478" s="72"/>
      <c r="J478" s="59"/>
      <c r="L478" s="68"/>
      <c r="N478" s="2"/>
      <c r="O478" s="2"/>
      <c r="P478" s="2"/>
      <c r="Q478" s="2"/>
      <c r="R478" s="2"/>
    </row>
    <row r="479" spans="1:18" s="1" customFormat="1" ht="20.100000000000001" customHeight="1" x14ac:dyDescent="0.25">
      <c r="A479" s="68"/>
      <c r="F479" s="68"/>
      <c r="G479" s="2"/>
      <c r="H479" s="2"/>
      <c r="I479" s="72"/>
      <c r="J479" s="59"/>
      <c r="L479" s="68"/>
      <c r="N479" s="2"/>
      <c r="O479" s="2"/>
      <c r="P479" s="2"/>
      <c r="Q479" s="2"/>
      <c r="R479" s="2"/>
    </row>
    <row r="480" spans="1:18" s="1" customFormat="1" ht="20.100000000000001" customHeight="1" x14ac:dyDescent="0.25">
      <c r="A480" s="68"/>
      <c r="F480" s="68"/>
      <c r="G480" s="2"/>
      <c r="H480" s="2"/>
      <c r="I480" s="72"/>
      <c r="J480" s="59"/>
      <c r="L480" s="68"/>
      <c r="N480" s="2"/>
      <c r="O480" s="2"/>
      <c r="P480" s="2"/>
      <c r="Q480" s="2"/>
      <c r="R480" s="2"/>
    </row>
    <row r="481" spans="1:18" s="1" customFormat="1" ht="20.100000000000001" customHeight="1" x14ac:dyDescent="0.25">
      <c r="A481" s="68"/>
      <c r="F481" s="68"/>
      <c r="G481" s="2"/>
      <c r="H481" s="2"/>
      <c r="I481" s="72"/>
      <c r="J481" s="59"/>
      <c r="L481" s="68"/>
      <c r="N481" s="2"/>
      <c r="O481" s="2"/>
      <c r="P481" s="2"/>
      <c r="Q481" s="2"/>
      <c r="R481" s="2"/>
    </row>
    <row r="482" spans="1:18" s="1" customFormat="1" ht="20.100000000000001" customHeight="1" x14ac:dyDescent="0.25">
      <c r="A482" s="68"/>
      <c r="F482" s="68"/>
      <c r="G482" s="2"/>
      <c r="H482" s="2"/>
      <c r="I482" s="72"/>
      <c r="J482" s="59"/>
      <c r="L482" s="68"/>
      <c r="N482" s="2"/>
      <c r="O482" s="2"/>
      <c r="P482" s="2"/>
      <c r="Q482" s="2"/>
      <c r="R482" s="2"/>
    </row>
    <row r="483" spans="1:18" s="1" customFormat="1" ht="20.100000000000001" customHeight="1" x14ac:dyDescent="0.25">
      <c r="A483" s="68"/>
      <c r="F483" s="68"/>
      <c r="G483" s="2"/>
      <c r="H483" s="2"/>
      <c r="I483" s="72"/>
      <c r="J483" s="59"/>
      <c r="L483" s="68"/>
      <c r="N483" s="2"/>
      <c r="O483" s="2"/>
      <c r="P483" s="2"/>
      <c r="Q483" s="2"/>
      <c r="R483" s="2"/>
    </row>
    <row r="484" spans="1:18" s="1" customFormat="1" ht="20.100000000000001" customHeight="1" x14ac:dyDescent="0.25">
      <c r="A484" s="68"/>
      <c r="F484" s="68"/>
      <c r="G484" s="2"/>
      <c r="H484" s="2"/>
      <c r="I484" s="72"/>
      <c r="J484" s="59"/>
      <c r="L484" s="68"/>
      <c r="N484" s="2"/>
      <c r="O484" s="2"/>
      <c r="P484" s="2"/>
      <c r="Q484" s="2"/>
      <c r="R484" s="2"/>
    </row>
    <row r="485" spans="1:18" s="1" customFormat="1" ht="20.100000000000001" customHeight="1" x14ac:dyDescent="0.25">
      <c r="A485" s="68"/>
      <c r="F485" s="68"/>
      <c r="G485" s="2"/>
      <c r="H485" s="2"/>
      <c r="I485" s="72"/>
      <c r="J485" s="59"/>
      <c r="L485" s="68"/>
      <c r="N485" s="2"/>
      <c r="O485" s="2"/>
      <c r="P485" s="2"/>
      <c r="Q485" s="2"/>
      <c r="R485" s="2"/>
    </row>
    <row r="486" spans="1:18" s="1" customFormat="1" ht="20.100000000000001" customHeight="1" x14ac:dyDescent="0.25">
      <c r="A486" s="68"/>
      <c r="F486" s="68"/>
      <c r="G486" s="2"/>
      <c r="H486" s="2"/>
      <c r="I486" s="72"/>
      <c r="J486" s="59"/>
      <c r="L486" s="68"/>
      <c r="N486" s="2"/>
      <c r="O486" s="2"/>
      <c r="P486" s="2"/>
      <c r="Q486" s="2"/>
      <c r="R486" s="2"/>
    </row>
    <row r="487" spans="1:18" s="1" customFormat="1" ht="20.100000000000001" customHeight="1" x14ac:dyDescent="0.25">
      <c r="A487" s="68"/>
      <c r="F487" s="68"/>
      <c r="G487" s="2"/>
      <c r="H487" s="2"/>
      <c r="I487" s="72"/>
      <c r="J487" s="59"/>
      <c r="L487" s="68"/>
      <c r="N487" s="2"/>
      <c r="O487" s="2"/>
      <c r="P487" s="2"/>
      <c r="Q487" s="2"/>
      <c r="R487" s="2"/>
    </row>
    <row r="488" spans="1:18" s="1" customFormat="1" ht="20.100000000000001" customHeight="1" x14ac:dyDescent="0.25">
      <c r="A488" s="68"/>
      <c r="F488" s="68"/>
      <c r="G488" s="2"/>
      <c r="H488" s="2"/>
      <c r="I488" s="72"/>
      <c r="J488" s="59"/>
      <c r="L488" s="68"/>
      <c r="N488" s="2"/>
      <c r="O488" s="2"/>
      <c r="P488" s="2"/>
      <c r="Q488" s="2"/>
      <c r="R488" s="2"/>
    </row>
    <row r="489" spans="1:18" s="1" customFormat="1" ht="20.100000000000001" customHeight="1" x14ac:dyDescent="0.25">
      <c r="A489" s="68"/>
      <c r="F489" s="68"/>
      <c r="G489" s="2"/>
      <c r="H489" s="2"/>
      <c r="I489" s="72"/>
      <c r="J489" s="59"/>
      <c r="L489" s="68"/>
      <c r="N489" s="2"/>
      <c r="O489" s="2"/>
      <c r="P489" s="2"/>
      <c r="Q489" s="2"/>
      <c r="R489" s="2"/>
    </row>
    <row r="490" spans="1:18" s="1" customFormat="1" ht="20.100000000000001" customHeight="1" x14ac:dyDescent="0.25">
      <c r="A490" s="68"/>
      <c r="F490" s="68"/>
      <c r="G490" s="2"/>
      <c r="H490" s="2"/>
      <c r="I490" s="72"/>
      <c r="J490" s="59"/>
      <c r="L490" s="68"/>
      <c r="N490" s="2"/>
      <c r="O490" s="2"/>
      <c r="P490" s="2"/>
      <c r="Q490" s="2"/>
      <c r="R490" s="2"/>
    </row>
    <row r="491" spans="1:18" s="1" customFormat="1" ht="20.100000000000001" customHeight="1" x14ac:dyDescent="0.25">
      <c r="A491" s="68"/>
      <c r="F491" s="68"/>
      <c r="G491" s="2"/>
      <c r="H491" s="2"/>
      <c r="I491" s="72"/>
      <c r="J491" s="59"/>
      <c r="L491" s="68"/>
      <c r="N491" s="2"/>
      <c r="O491" s="2"/>
      <c r="P491" s="2"/>
      <c r="Q491" s="2"/>
      <c r="R491" s="2"/>
    </row>
    <row r="492" spans="1:18" s="1" customFormat="1" ht="20.100000000000001" customHeight="1" x14ac:dyDescent="0.25">
      <c r="A492" s="68"/>
      <c r="F492" s="68"/>
      <c r="G492" s="2"/>
      <c r="H492" s="2"/>
      <c r="I492" s="72"/>
      <c r="J492" s="59"/>
      <c r="L492" s="68"/>
      <c r="N492" s="2"/>
      <c r="O492" s="2"/>
      <c r="P492" s="2"/>
      <c r="Q492" s="2"/>
      <c r="R492" s="2"/>
    </row>
    <row r="493" spans="1:18" s="1" customFormat="1" ht="20.100000000000001" customHeight="1" x14ac:dyDescent="0.25">
      <c r="A493" s="68"/>
      <c r="F493" s="68"/>
      <c r="G493" s="2"/>
      <c r="H493" s="2"/>
      <c r="I493" s="72"/>
      <c r="J493" s="59"/>
      <c r="L493" s="68"/>
      <c r="N493" s="2"/>
      <c r="O493" s="2"/>
      <c r="P493" s="2"/>
      <c r="Q493" s="2"/>
      <c r="R493" s="2"/>
    </row>
    <row r="494" spans="1:18" s="1" customFormat="1" ht="20.100000000000001" customHeight="1" x14ac:dyDescent="0.25">
      <c r="A494" s="68"/>
      <c r="F494" s="68"/>
      <c r="G494" s="2"/>
      <c r="H494" s="2"/>
      <c r="I494" s="72"/>
      <c r="J494" s="59"/>
      <c r="L494" s="68"/>
      <c r="N494" s="2"/>
      <c r="O494" s="2"/>
      <c r="P494" s="2"/>
      <c r="Q494" s="2"/>
      <c r="R494" s="2"/>
    </row>
    <row r="495" spans="1:18" s="1" customFormat="1" ht="20.100000000000001" customHeight="1" x14ac:dyDescent="0.25">
      <c r="A495" s="68"/>
      <c r="F495" s="68"/>
      <c r="G495" s="2"/>
      <c r="H495" s="2"/>
      <c r="I495" s="72"/>
      <c r="J495" s="59"/>
      <c r="L495" s="68"/>
      <c r="N495" s="2"/>
      <c r="O495" s="2"/>
      <c r="P495" s="2"/>
      <c r="Q495" s="2"/>
      <c r="R495" s="2"/>
    </row>
    <row r="496" spans="1:18" s="1" customFormat="1" ht="20.100000000000001" customHeight="1" x14ac:dyDescent="0.25">
      <c r="A496" s="68"/>
      <c r="F496" s="68"/>
      <c r="G496" s="2"/>
      <c r="H496" s="2"/>
      <c r="I496" s="72"/>
      <c r="J496" s="59"/>
      <c r="L496" s="68"/>
      <c r="N496" s="2"/>
      <c r="O496" s="2"/>
      <c r="P496" s="2"/>
      <c r="Q496" s="2"/>
      <c r="R496" s="2"/>
    </row>
    <row r="497" spans="1:18" s="1" customFormat="1" ht="20.100000000000001" customHeight="1" x14ac:dyDescent="0.25">
      <c r="A497" s="68"/>
      <c r="F497" s="68"/>
      <c r="G497" s="2"/>
      <c r="H497" s="2"/>
      <c r="I497" s="72"/>
      <c r="J497" s="59"/>
      <c r="L497" s="68"/>
      <c r="N497" s="2"/>
      <c r="O497" s="2"/>
      <c r="P497" s="2"/>
      <c r="Q497" s="2"/>
      <c r="R497" s="2"/>
    </row>
    <row r="498" spans="1:18" s="1" customFormat="1" ht="20.100000000000001" customHeight="1" x14ac:dyDescent="0.25">
      <c r="A498" s="68"/>
      <c r="F498" s="68"/>
      <c r="G498" s="2"/>
      <c r="H498" s="2"/>
      <c r="I498" s="72"/>
      <c r="J498" s="59"/>
      <c r="L498" s="68"/>
      <c r="N498" s="2"/>
      <c r="O498" s="2"/>
      <c r="P498" s="2"/>
      <c r="Q498" s="2"/>
      <c r="R498" s="2"/>
    </row>
    <row r="499" spans="1:18" s="1" customFormat="1" ht="20.100000000000001" customHeight="1" x14ac:dyDescent="0.25">
      <c r="A499" s="68"/>
      <c r="F499" s="68"/>
      <c r="G499" s="2"/>
      <c r="H499" s="2"/>
      <c r="I499" s="72"/>
      <c r="J499" s="59"/>
      <c r="L499" s="68"/>
      <c r="N499" s="2"/>
      <c r="O499" s="2"/>
      <c r="P499" s="2"/>
      <c r="Q499" s="2"/>
      <c r="R499" s="2"/>
    </row>
    <row r="500" spans="1:18" s="1" customFormat="1" ht="20.100000000000001" customHeight="1" x14ac:dyDescent="0.25">
      <c r="A500" s="68"/>
      <c r="F500" s="68"/>
      <c r="G500" s="2"/>
      <c r="H500" s="2"/>
      <c r="I500" s="72"/>
      <c r="J500" s="59"/>
      <c r="L500" s="68"/>
      <c r="N500" s="2"/>
      <c r="O500" s="2"/>
      <c r="P500" s="2"/>
      <c r="Q500" s="2"/>
      <c r="R500" s="2"/>
    </row>
    <row r="501" spans="1:18" s="1" customFormat="1" ht="20.100000000000001" customHeight="1" x14ac:dyDescent="0.25">
      <c r="A501" s="68"/>
      <c r="F501" s="68"/>
      <c r="G501" s="56"/>
      <c r="H501" s="56"/>
      <c r="I501" s="77"/>
      <c r="J501" s="59"/>
      <c r="K501"/>
      <c r="L501" s="68"/>
      <c r="N501" s="2"/>
      <c r="O501" s="2"/>
      <c r="P501" s="2"/>
      <c r="Q501" s="2"/>
      <c r="R501" s="2"/>
    </row>
    <row r="502" spans="1:18" s="1" customFormat="1" ht="20.100000000000001" customHeight="1" x14ac:dyDescent="0.25">
      <c r="A502" s="68"/>
      <c r="F502" s="68"/>
      <c r="G502" s="56"/>
      <c r="H502" s="56"/>
      <c r="I502" s="77"/>
      <c r="J502" s="56"/>
      <c r="K502"/>
      <c r="L502" s="68"/>
      <c r="N502" s="2"/>
      <c r="O502" s="2"/>
      <c r="P502" s="2"/>
      <c r="Q502" s="2"/>
      <c r="R502" s="2"/>
    </row>
    <row r="503" spans="1:18" s="1" customFormat="1" ht="20.100000000000001" customHeight="1" x14ac:dyDescent="0.25">
      <c r="A503" s="68"/>
      <c r="F503" s="68"/>
      <c r="G503" s="56"/>
      <c r="H503" s="56"/>
      <c r="I503" s="77"/>
      <c r="J503" s="56"/>
      <c r="K503"/>
      <c r="L503" s="68"/>
      <c r="N503" s="2"/>
      <c r="O503" s="2"/>
      <c r="P503" s="2"/>
      <c r="Q503" s="2"/>
      <c r="R503" s="2"/>
    </row>
    <row r="504" spans="1:18" s="1" customFormat="1" ht="20.100000000000001" customHeight="1" x14ac:dyDescent="0.25">
      <c r="A504" s="68"/>
      <c r="F504" s="68"/>
      <c r="G504" s="56"/>
      <c r="H504" s="56"/>
      <c r="I504" s="77"/>
      <c r="J504" s="56"/>
      <c r="K504"/>
      <c r="L504" s="68"/>
      <c r="N504" s="2"/>
      <c r="O504" s="2"/>
      <c r="P504" s="2"/>
      <c r="Q504" s="2"/>
      <c r="R504" s="2"/>
    </row>
    <row r="505" spans="1:18" s="1" customFormat="1" ht="20.100000000000001" customHeight="1" x14ac:dyDescent="0.25">
      <c r="A505" s="68"/>
      <c r="F505" s="68"/>
      <c r="G505" s="56"/>
      <c r="H505" s="56"/>
      <c r="I505" s="77"/>
      <c r="J505" s="56"/>
      <c r="K505"/>
      <c r="L505" s="68"/>
      <c r="N505" s="2"/>
      <c r="O505" s="2"/>
      <c r="P505" s="2"/>
      <c r="Q505" s="2"/>
      <c r="R505" s="2"/>
    </row>
    <row r="506" spans="1:18" s="1" customFormat="1" ht="20.100000000000001" customHeight="1" x14ac:dyDescent="0.25">
      <c r="A506" s="68"/>
      <c r="F506" s="68"/>
      <c r="G506" s="56"/>
      <c r="H506" s="56"/>
      <c r="I506" s="77"/>
      <c r="J506" s="56"/>
      <c r="K506"/>
      <c r="L506" s="68"/>
      <c r="N506" s="2"/>
      <c r="O506" s="2"/>
      <c r="P506" s="2"/>
      <c r="Q506" s="2"/>
      <c r="R506" s="2"/>
    </row>
    <row r="507" spans="1:18" s="1" customFormat="1" ht="20.100000000000001" customHeight="1" x14ac:dyDescent="0.25">
      <c r="A507" s="68"/>
      <c r="F507" s="68"/>
      <c r="G507" s="56"/>
      <c r="H507" s="56"/>
      <c r="I507" s="77"/>
      <c r="J507" s="56"/>
      <c r="K507"/>
      <c r="L507" s="68"/>
      <c r="N507" s="2"/>
      <c r="O507" s="2"/>
      <c r="P507" s="2"/>
      <c r="Q507" s="2"/>
      <c r="R507" s="2"/>
    </row>
    <row r="508" spans="1:18" s="1" customFormat="1" ht="20.100000000000001" customHeight="1" x14ac:dyDescent="0.25">
      <c r="A508" s="68"/>
      <c r="F508" s="68"/>
      <c r="G508" s="56"/>
      <c r="H508" s="56"/>
      <c r="I508" s="77"/>
      <c r="J508" s="56"/>
      <c r="K508"/>
      <c r="L508" s="68"/>
      <c r="N508" s="2"/>
      <c r="O508" s="2"/>
      <c r="P508" s="2"/>
      <c r="Q508" s="2"/>
      <c r="R508" s="2"/>
    </row>
    <row r="509" spans="1:18" s="1" customFormat="1" ht="20.100000000000001" customHeight="1" x14ac:dyDescent="0.25">
      <c r="A509" s="68"/>
      <c r="F509" s="68"/>
      <c r="G509" s="56"/>
      <c r="H509" s="56"/>
      <c r="I509" s="77"/>
      <c r="J509" s="56"/>
      <c r="K509"/>
      <c r="L509" s="68"/>
      <c r="N509" s="2"/>
      <c r="O509" s="2"/>
      <c r="P509" s="2"/>
      <c r="Q509" s="2"/>
      <c r="R509" s="2"/>
    </row>
    <row r="510" spans="1:18" s="1" customFormat="1" ht="20.100000000000001" customHeight="1" x14ac:dyDescent="0.25">
      <c r="A510" s="68"/>
      <c r="F510" s="68"/>
      <c r="G510" s="56"/>
      <c r="H510" s="56"/>
      <c r="I510" s="77"/>
      <c r="J510" s="56"/>
      <c r="K510"/>
      <c r="L510" s="68"/>
      <c r="N510" s="2"/>
      <c r="O510" s="2"/>
      <c r="P510" s="2"/>
      <c r="Q510" s="2"/>
      <c r="R510" s="2"/>
    </row>
    <row r="511" spans="1:18" x14ac:dyDescent="0.25">
      <c r="M511" s="1"/>
      <c r="N511" s="2"/>
      <c r="O511" s="2"/>
      <c r="P511" s="2"/>
      <c r="Q511" s="2"/>
      <c r="R511" s="2"/>
    </row>
    <row r="512" spans="1:18" x14ac:dyDescent="0.25">
      <c r="M512" s="1"/>
      <c r="N512" s="2"/>
      <c r="O512" s="2"/>
      <c r="P512" s="2"/>
      <c r="Q512" s="2"/>
      <c r="R512" s="2"/>
    </row>
    <row r="513" spans="13:18" x14ac:dyDescent="0.25">
      <c r="M513" s="1"/>
      <c r="N513" s="2"/>
      <c r="O513" s="2"/>
      <c r="P513" s="2"/>
      <c r="Q513" s="2"/>
      <c r="R513" s="2"/>
    </row>
    <row r="514" spans="13:18" x14ac:dyDescent="0.25">
      <c r="M514" s="1"/>
      <c r="N514" s="2"/>
      <c r="O514" s="2"/>
      <c r="P514" s="2"/>
      <c r="Q514" s="2"/>
      <c r="R514" s="2"/>
    </row>
    <row r="515" spans="13:18" x14ac:dyDescent="0.25">
      <c r="M515" s="1"/>
      <c r="N515" s="2"/>
      <c r="O515" s="2"/>
      <c r="P515" s="2"/>
      <c r="Q515" s="2"/>
      <c r="R515" s="2"/>
    </row>
    <row r="516" spans="13:18" x14ac:dyDescent="0.25">
      <c r="M516" s="1"/>
      <c r="N516" s="2"/>
      <c r="O516" s="2"/>
      <c r="P516" s="2"/>
      <c r="Q516" s="2"/>
      <c r="R516" s="2"/>
    </row>
    <row r="517" spans="13:18" x14ac:dyDescent="0.25">
      <c r="M517" s="1"/>
      <c r="N517" s="2"/>
      <c r="O517" s="2"/>
      <c r="P517" s="2"/>
      <c r="Q517" s="2"/>
      <c r="R517" s="2"/>
    </row>
  </sheetData>
  <mergeCells count="18">
    <mergeCell ref="G29:K29"/>
    <mergeCell ref="B3:E3"/>
    <mergeCell ref="G3:K3"/>
    <mergeCell ref="M3:R3"/>
    <mergeCell ref="H4:I4"/>
    <mergeCell ref="O4:P4"/>
    <mergeCell ref="B17:E17"/>
    <mergeCell ref="M17:R17"/>
    <mergeCell ref="O18:P18"/>
    <mergeCell ref="G20:K20"/>
    <mergeCell ref="H21:I21"/>
    <mergeCell ref="M25:R25"/>
    <mergeCell ref="O26:P26"/>
    <mergeCell ref="H30:I30"/>
    <mergeCell ref="G51:K51"/>
    <mergeCell ref="H52:I52"/>
    <mergeCell ref="M56:R56"/>
    <mergeCell ref="O57:P57"/>
  </mergeCell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6C659-86F0-4058-BC97-4951656CE06B}">
  <sheetPr codeName="Lembar11"/>
  <dimension ref="A3:S517"/>
  <sheetViews>
    <sheetView showGridLines="0" topLeftCell="E1" workbookViewId="0">
      <selection activeCell="J8" sqref="J8"/>
    </sheetView>
  </sheetViews>
  <sheetFormatPr defaultRowHeight="15" x14ac:dyDescent="0.25"/>
  <cols>
    <col min="1" max="1" width="3.140625" style="53" customWidth="1"/>
    <col min="3" max="3" width="31" bestFit="1" customWidth="1"/>
    <col min="4" max="4" width="18.42578125" customWidth="1"/>
    <col min="6" max="6" width="3.140625" style="53" customWidth="1"/>
    <col min="8" max="9" width="20.5703125" style="56" bestFit="1" customWidth="1"/>
    <col min="10" max="10" width="118.140625" style="77" customWidth="1"/>
    <col min="11" max="11" width="12.42578125" style="56" customWidth="1"/>
    <col min="13" max="13" width="3.140625" style="53" customWidth="1"/>
    <col min="15" max="15" width="20.5703125" style="56" bestFit="1" customWidth="1"/>
    <col min="16" max="16" width="27.42578125" style="56" bestFit="1" customWidth="1"/>
    <col min="17" max="17" width="59.140625" style="56" bestFit="1" customWidth="1"/>
    <col min="18" max="18" width="12.42578125" style="56" customWidth="1"/>
    <col min="19" max="19" width="9.140625" style="56"/>
  </cols>
  <sheetData>
    <row r="3" spans="1:19" ht="15.75" thickBot="1" x14ac:dyDescent="0.3">
      <c r="B3" s="118" t="s">
        <v>28</v>
      </c>
      <c r="C3" s="118"/>
      <c r="D3" s="118"/>
      <c r="E3" s="118"/>
      <c r="G3" s="118" t="s">
        <v>192</v>
      </c>
      <c r="H3" s="118"/>
      <c r="I3" s="118"/>
      <c r="J3" s="118"/>
      <c r="K3" s="118"/>
      <c r="L3" s="118"/>
      <c r="N3" s="118" t="s">
        <v>29</v>
      </c>
      <c r="O3" s="118"/>
      <c r="P3" s="118"/>
      <c r="Q3" s="118"/>
      <c r="R3" s="118"/>
      <c r="S3" s="118"/>
    </row>
    <row r="4" spans="1:19" s="1" customFormat="1" ht="20.100000000000001" customHeight="1" x14ac:dyDescent="0.25">
      <c r="A4" s="68"/>
      <c r="B4" s="61"/>
      <c r="C4" s="62" t="s">
        <v>30</v>
      </c>
      <c r="D4" s="62" t="s">
        <v>31</v>
      </c>
      <c r="E4" s="61"/>
      <c r="F4" s="68"/>
      <c r="G4" s="61"/>
      <c r="H4" s="62" t="s">
        <v>32</v>
      </c>
      <c r="I4" s="117" t="s">
        <v>33</v>
      </c>
      <c r="J4" s="117"/>
      <c r="K4" s="62" t="s">
        <v>34</v>
      </c>
      <c r="L4" s="69"/>
      <c r="M4" s="68"/>
      <c r="N4" s="61"/>
      <c r="O4" s="62" t="s">
        <v>32</v>
      </c>
      <c r="P4" s="117" t="s">
        <v>33</v>
      </c>
      <c r="Q4" s="117"/>
      <c r="R4" s="62" t="s">
        <v>34</v>
      </c>
      <c r="S4" s="62"/>
    </row>
    <row r="5" spans="1:19" s="1" customFormat="1" ht="20.100000000000001" customHeight="1" x14ac:dyDescent="0.25">
      <c r="A5" s="68"/>
      <c r="C5" s="2" t="s">
        <v>35</v>
      </c>
      <c r="D5" s="59">
        <v>6</v>
      </c>
      <c r="F5" s="68"/>
      <c r="H5" s="2" t="s">
        <v>35</v>
      </c>
      <c r="I5" s="2" t="s">
        <v>36</v>
      </c>
      <c r="J5" s="72" t="s">
        <v>37</v>
      </c>
      <c r="K5" s="59">
        <v>0.6</v>
      </c>
      <c r="M5" s="68"/>
      <c r="N5" s="3"/>
      <c r="O5" s="54" t="s">
        <v>15</v>
      </c>
      <c r="P5" s="54" t="s">
        <v>38</v>
      </c>
      <c r="Q5" s="54" t="s">
        <v>38</v>
      </c>
      <c r="R5" s="67">
        <v>0.2</v>
      </c>
      <c r="S5" s="54"/>
    </row>
    <row r="6" spans="1:19" s="1" customFormat="1" ht="20.100000000000001" customHeight="1" x14ac:dyDescent="0.25">
      <c r="A6" s="68"/>
      <c r="C6" s="2" t="s">
        <v>39</v>
      </c>
      <c r="D6" s="59">
        <v>4</v>
      </c>
      <c r="F6" s="68"/>
      <c r="H6" s="2"/>
      <c r="I6" s="2"/>
      <c r="J6" s="72" t="s">
        <v>40</v>
      </c>
      <c r="K6" s="59">
        <v>0.9</v>
      </c>
      <c r="M6" s="68"/>
      <c r="O6" s="2"/>
      <c r="P6" s="2" t="s">
        <v>41</v>
      </c>
      <c r="Q6" s="2" t="s">
        <v>42</v>
      </c>
      <c r="R6" s="59">
        <v>0.6</v>
      </c>
      <c r="S6" s="2"/>
    </row>
    <row r="7" spans="1:19" s="1" customFormat="1" ht="20.100000000000001" customHeight="1" x14ac:dyDescent="0.25">
      <c r="A7" s="68"/>
      <c r="C7" s="2" t="s">
        <v>43</v>
      </c>
      <c r="D7" s="59">
        <v>4</v>
      </c>
      <c r="F7" s="68"/>
      <c r="H7" s="2"/>
      <c r="I7" s="2"/>
      <c r="J7" s="72" t="s">
        <v>44</v>
      </c>
      <c r="K7" s="59">
        <v>1.2</v>
      </c>
      <c r="M7" s="68"/>
      <c r="O7" s="2"/>
      <c r="P7" s="2"/>
      <c r="Q7" s="2" t="s">
        <v>45</v>
      </c>
      <c r="R7" s="59">
        <v>0.8</v>
      </c>
      <c r="S7" s="2"/>
    </row>
    <row r="8" spans="1:19" s="1" customFormat="1" ht="20.100000000000001" customHeight="1" x14ac:dyDescent="0.25">
      <c r="A8" s="68"/>
      <c r="C8" s="2" t="s">
        <v>46</v>
      </c>
      <c r="D8" s="59">
        <v>6</v>
      </c>
      <c r="F8" s="68"/>
      <c r="H8" s="2"/>
      <c r="I8" s="2"/>
      <c r="J8" s="72" t="s">
        <v>47</v>
      </c>
      <c r="K8" s="59">
        <v>3</v>
      </c>
      <c r="M8" s="68"/>
      <c r="O8" s="2"/>
      <c r="P8" s="2"/>
      <c r="Q8" s="2" t="s">
        <v>48</v>
      </c>
      <c r="R8" s="59">
        <v>1</v>
      </c>
      <c r="S8" s="2"/>
    </row>
    <row r="9" spans="1:19" s="1" customFormat="1" ht="20.100000000000001" customHeight="1" x14ac:dyDescent="0.25">
      <c r="A9" s="68"/>
      <c r="C9" s="2" t="s">
        <v>49</v>
      </c>
      <c r="D9" s="59">
        <v>6</v>
      </c>
      <c r="F9" s="68"/>
      <c r="H9" s="2"/>
      <c r="I9" s="2"/>
      <c r="J9" s="72" t="s">
        <v>50</v>
      </c>
      <c r="K9" s="59">
        <v>4</v>
      </c>
      <c r="M9" s="68"/>
      <c r="O9" s="2"/>
      <c r="P9" s="2" t="s">
        <v>51</v>
      </c>
      <c r="Q9" s="2" t="s">
        <v>42</v>
      </c>
      <c r="R9" s="59">
        <v>0.6</v>
      </c>
      <c r="S9" s="2"/>
    </row>
    <row r="10" spans="1:19" s="1" customFormat="1" ht="20.100000000000001" customHeight="1" x14ac:dyDescent="0.25">
      <c r="A10" s="68"/>
      <c r="C10" s="2" t="s">
        <v>52</v>
      </c>
      <c r="D10" s="59">
        <v>4</v>
      </c>
      <c r="F10" s="68"/>
      <c r="H10" s="2"/>
      <c r="I10" s="2"/>
      <c r="J10" s="72" t="s">
        <v>53</v>
      </c>
      <c r="K10" s="59">
        <v>3.6</v>
      </c>
      <c r="M10" s="68"/>
      <c r="O10" s="2"/>
      <c r="P10" s="2"/>
      <c r="Q10" s="2" t="s">
        <v>45</v>
      </c>
      <c r="R10" s="59">
        <v>0.8</v>
      </c>
      <c r="S10" s="2"/>
    </row>
    <row r="11" spans="1:19" s="1" customFormat="1" ht="20.100000000000001" customHeight="1" x14ac:dyDescent="0.25">
      <c r="A11" s="68"/>
      <c r="C11" s="2" t="s">
        <v>54</v>
      </c>
      <c r="D11" s="59">
        <v>4</v>
      </c>
      <c r="F11" s="68"/>
      <c r="H11" s="2"/>
      <c r="I11" s="2"/>
      <c r="J11" s="72" t="s">
        <v>55</v>
      </c>
      <c r="K11" s="59">
        <v>4</v>
      </c>
      <c r="M11" s="68"/>
      <c r="O11" s="2"/>
      <c r="P11" s="2"/>
      <c r="Q11" s="2" t="s">
        <v>48</v>
      </c>
      <c r="R11" s="59">
        <v>1</v>
      </c>
      <c r="S11" s="2"/>
    </row>
    <row r="12" spans="1:19" s="1" customFormat="1" ht="20.100000000000001" customHeight="1" x14ac:dyDescent="0.25">
      <c r="A12" s="68"/>
      <c r="C12" s="2" t="s">
        <v>56</v>
      </c>
      <c r="D12" s="59">
        <v>4</v>
      </c>
      <c r="F12" s="68"/>
      <c r="H12" s="2"/>
      <c r="I12" s="2"/>
      <c r="J12" s="72" t="s">
        <v>57</v>
      </c>
      <c r="K12" s="59">
        <v>5.4</v>
      </c>
      <c r="M12" s="68"/>
      <c r="O12" s="2"/>
      <c r="P12" s="2" t="s">
        <v>58</v>
      </c>
      <c r="Q12" s="2" t="s">
        <v>42</v>
      </c>
      <c r="R12" s="59">
        <v>1.2</v>
      </c>
      <c r="S12" s="2"/>
    </row>
    <row r="13" spans="1:19" s="1" customFormat="1" ht="20.100000000000001" customHeight="1" x14ac:dyDescent="0.25">
      <c r="A13" s="68"/>
      <c r="C13" s="2" t="s">
        <v>59</v>
      </c>
      <c r="D13" s="59">
        <v>2</v>
      </c>
      <c r="F13" s="68"/>
      <c r="H13" s="2"/>
      <c r="I13" s="2"/>
      <c r="J13" s="72" t="s">
        <v>60</v>
      </c>
      <c r="K13" s="59">
        <v>6</v>
      </c>
      <c r="M13" s="68"/>
      <c r="O13" s="2"/>
      <c r="P13" s="2"/>
      <c r="Q13" s="2" t="s">
        <v>45</v>
      </c>
      <c r="R13" s="59">
        <v>1.6</v>
      </c>
      <c r="S13" s="2"/>
    </row>
    <row r="14" spans="1:19" s="1" customFormat="1" ht="20.100000000000001" customHeight="1" thickBot="1" x14ac:dyDescent="0.3">
      <c r="A14" s="68"/>
      <c r="B14" s="58"/>
      <c r="C14" s="57" t="s">
        <v>61</v>
      </c>
      <c r="D14" s="60">
        <f>SUM(D5:D13)</f>
        <v>40</v>
      </c>
      <c r="E14" s="58"/>
      <c r="F14" s="68"/>
      <c r="H14" s="2"/>
      <c r="I14" s="2" t="s">
        <v>11</v>
      </c>
      <c r="J14" s="72" t="s">
        <v>62</v>
      </c>
      <c r="K14" s="59">
        <v>2.4</v>
      </c>
      <c r="M14" s="68"/>
      <c r="N14" s="29"/>
      <c r="O14" s="30"/>
      <c r="P14" s="30"/>
      <c r="Q14" s="30" t="s">
        <v>48</v>
      </c>
      <c r="R14" s="66">
        <v>2</v>
      </c>
      <c r="S14" s="30"/>
    </row>
    <row r="15" spans="1:19" s="1" customFormat="1" ht="20.100000000000001" customHeight="1" x14ac:dyDescent="0.25">
      <c r="A15" s="68"/>
      <c r="F15" s="68"/>
      <c r="H15" s="2"/>
      <c r="I15" s="2"/>
      <c r="J15" s="72" t="s">
        <v>63</v>
      </c>
      <c r="K15" s="59">
        <v>3</v>
      </c>
      <c r="M15" s="68"/>
    </row>
    <row r="16" spans="1:19" s="1" customFormat="1" ht="20.100000000000001" customHeight="1" x14ac:dyDescent="0.25">
      <c r="A16" s="68"/>
      <c r="C16" s="64"/>
      <c r="D16" s="64"/>
      <c r="E16" s="64"/>
      <c r="F16" s="68"/>
      <c r="H16" s="2"/>
      <c r="I16" s="2"/>
      <c r="J16" s="72" t="s">
        <v>64</v>
      </c>
      <c r="K16" s="59">
        <v>4.2</v>
      </c>
      <c r="M16" s="68"/>
      <c r="O16" s="2"/>
      <c r="P16" s="2"/>
      <c r="Q16" s="2"/>
      <c r="R16" s="59"/>
      <c r="S16" s="2"/>
    </row>
    <row r="17" spans="1:19" s="1" customFormat="1" ht="20.100000000000001" customHeight="1" thickBot="1" x14ac:dyDescent="0.3">
      <c r="A17" s="68"/>
      <c r="B17" s="119" t="s">
        <v>65</v>
      </c>
      <c r="C17" s="119"/>
      <c r="D17" s="119"/>
      <c r="E17" s="119"/>
      <c r="F17" s="68"/>
      <c r="H17" s="2"/>
      <c r="I17" s="2"/>
      <c r="J17" s="73" t="s">
        <v>66</v>
      </c>
      <c r="K17" s="59">
        <v>5</v>
      </c>
      <c r="M17" s="68"/>
      <c r="N17" s="118" t="s">
        <v>67</v>
      </c>
      <c r="O17" s="118"/>
      <c r="P17" s="118"/>
      <c r="Q17" s="118"/>
      <c r="R17" s="118"/>
      <c r="S17" s="118"/>
    </row>
    <row r="18" spans="1:19" s="1" customFormat="1" ht="20.100000000000001" customHeight="1" thickBot="1" x14ac:dyDescent="0.3">
      <c r="A18" s="68"/>
      <c r="B18" s="61"/>
      <c r="C18" s="63" t="s">
        <v>68</v>
      </c>
      <c r="D18" s="63" t="s">
        <v>69</v>
      </c>
      <c r="E18" s="61"/>
      <c r="F18" s="68"/>
      <c r="G18" s="29"/>
      <c r="H18" s="30"/>
      <c r="I18" s="30"/>
      <c r="J18" s="74" t="s">
        <v>70</v>
      </c>
      <c r="K18" s="66">
        <v>6</v>
      </c>
      <c r="L18" s="29"/>
      <c r="M18" s="68"/>
      <c r="N18" s="61"/>
      <c r="O18" s="62" t="s">
        <v>32</v>
      </c>
      <c r="P18" s="117" t="s">
        <v>33</v>
      </c>
      <c r="Q18" s="117"/>
      <c r="R18" s="62" t="s">
        <v>34</v>
      </c>
      <c r="S18" s="62"/>
    </row>
    <row r="19" spans="1:19" s="1" customFormat="1" ht="20.100000000000001" customHeight="1" x14ac:dyDescent="0.25">
      <c r="A19" s="68"/>
      <c r="B19" s="3"/>
      <c r="C19" s="54" t="s">
        <v>71</v>
      </c>
      <c r="D19" s="54" t="s">
        <v>72</v>
      </c>
      <c r="E19" s="3"/>
      <c r="F19" s="68"/>
      <c r="H19" s="2"/>
      <c r="I19" s="2"/>
      <c r="J19" s="72"/>
      <c r="K19" s="2"/>
      <c r="M19" s="68"/>
      <c r="O19" s="2" t="s">
        <v>73</v>
      </c>
      <c r="P19" s="2"/>
      <c r="Q19" s="2" t="s">
        <v>74</v>
      </c>
      <c r="R19" s="59">
        <v>1</v>
      </c>
      <c r="S19" s="2"/>
    </row>
    <row r="20" spans="1:19" s="1" customFormat="1" ht="20.100000000000001" customHeight="1" thickBot="1" x14ac:dyDescent="0.3">
      <c r="A20" s="68"/>
      <c r="C20" s="2" t="s">
        <v>75</v>
      </c>
      <c r="D20" s="2" t="s">
        <v>76</v>
      </c>
      <c r="F20" s="68"/>
      <c r="G20" s="120" t="s">
        <v>193</v>
      </c>
      <c r="H20" s="120"/>
      <c r="I20" s="120"/>
      <c r="J20" s="120"/>
      <c r="K20" s="120"/>
      <c r="L20" s="120"/>
      <c r="M20" s="68"/>
      <c r="O20" s="2"/>
      <c r="P20" s="2"/>
      <c r="Q20" s="2" t="s">
        <v>77</v>
      </c>
      <c r="R20" s="59">
        <v>2</v>
      </c>
      <c r="S20" s="2"/>
    </row>
    <row r="21" spans="1:19" s="1" customFormat="1" ht="20.100000000000001" customHeight="1" x14ac:dyDescent="0.25">
      <c r="A21" s="68"/>
      <c r="C21" s="2" t="s">
        <v>78</v>
      </c>
      <c r="D21" s="2" t="s">
        <v>79</v>
      </c>
      <c r="F21" s="68"/>
      <c r="G21" s="69"/>
      <c r="H21" s="62" t="s">
        <v>32</v>
      </c>
      <c r="I21" s="117" t="s">
        <v>33</v>
      </c>
      <c r="J21" s="117"/>
      <c r="K21" s="62" t="s">
        <v>34</v>
      </c>
      <c r="L21" s="69"/>
      <c r="M21" s="68"/>
      <c r="O21" s="2"/>
      <c r="P21" s="2"/>
      <c r="Q21" s="2" t="s">
        <v>80</v>
      </c>
      <c r="R21" s="59">
        <v>2.2000000000000002</v>
      </c>
      <c r="S21" s="2"/>
    </row>
    <row r="22" spans="1:19" s="1" customFormat="1" ht="20.100000000000001" customHeight="1" x14ac:dyDescent="0.25">
      <c r="A22" s="68"/>
      <c r="C22" s="2" t="s">
        <v>81</v>
      </c>
      <c r="D22" s="2" t="s">
        <v>82</v>
      </c>
      <c r="F22" s="68"/>
      <c r="G22" s="3"/>
      <c r="H22" s="54" t="s">
        <v>39</v>
      </c>
      <c r="I22" s="54"/>
      <c r="J22" s="75" t="s">
        <v>83</v>
      </c>
      <c r="K22" s="67">
        <v>0.6</v>
      </c>
      <c r="L22" s="3"/>
      <c r="M22" s="68"/>
      <c r="O22" s="2"/>
      <c r="P22" s="2"/>
      <c r="Q22" s="2" t="s">
        <v>84</v>
      </c>
      <c r="R22" s="59">
        <v>2</v>
      </c>
      <c r="S22" s="2"/>
    </row>
    <row r="23" spans="1:19" s="1" customFormat="1" ht="20.100000000000001" customHeight="1" thickBot="1" x14ac:dyDescent="0.3">
      <c r="A23" s="68"/>
      <c r="B23" s="29"/>
      <c r="C23" s="30" t="s">
        <v>85</v>
      </c>
      <c r="D23" s="30" t="s">
        <v>86</v>
      </c>
      <c r="E23" s="29"/>
      <c r="F23" s="68"/>
      <c r="H23" s="2"/>
      <c r="I23" s="2"/>
      <c r="J23" s="72" t="s">
        <v>87</v>
      </c>
      <c r="K23" s="59">
        <v>1.2</v>
      </c>
      <c r="M23" s="68"/>
      <c r="N23" s="29"/>
      <c r="O23" s="30"/>
      <c r="P23" s="30"/>
      <c r="Q23" s="30" t="s">
        <v>88</v>
      </c>
      <c r="R23" s="66">
        <v>4</v>
      </c>
      <c r="S23" s="30"/>
    </row>
    <row r="24" spans="1:19" s="1" customFormat="1" ht="19.5" customHeight="1" x14ac:dyDescent="0.25">
      <c r="A24" s="68"/>
      <c r="C24" s="2"/>
      <c r="D24" s="2"/>
      <c r="F24" s="68"/>
      <c r="H24" s="2"/>
      <c r="I24" s="2"/>
      <c r="J24" s="72" t="s">
        <v>89</v>
      </c>
      <c r="K24" s="59">
        <v>1.8</v>
      </c>
      <c r="M24" s="68"/>
      <c r="O24" s="2"/>
      <c r="P24" s="2"/>
      <c r="Q24" s="2"/>
      <c r="R24" s="59"/>
      <c r="S24" s="2"/>
    </row>
    <row r="25" spans="1:19" s="1" customFormat="1" ht="20.100000000000001" customHeight="1" thickBot="1" x14ac:dyDescent="0.3">
      <c r="A25" s="68"/>
      <c r="C25" s="2"/>
      <c r="D25" s="2"/>
      <c r="F25" s="68"/>
      <c r="H25" s="2"/>
      <c r="I25" s="2"/>
      <c r="J25" s="72" t="s">
        <v>90</v>
      </c>
      <c r="K25" s="59">
        <v>2.4</v>
      </c>
      <c r="M25" s="68"/>
      <c r="N25" s="118" t="s">
        <v>91</v>
      </c>
      <c r="O25" s="118"/>
      <c r="P25" s="118"/>
      <c r="Q25" s="118"/>
      <c r="R25" s="118"/>
      <c r="S25" s="118"/>
    </row>
    <row r="26" spans="1:19" s="1" customFormat="1" ht="20.100000000000001" customHeight="1" x14ac:dyDescent="0.25">
      <c r="A26" s="68"/>
      <c r="C26" s="2"/>
      <c r="D26" s="2"/>
      <c r="F26" s="68"/>
      <c r="H26" s="2"/>
      <c r="I26" s="2"/>
      <c r="J26" s="72" t="s">
        <v>92</v>
      </c>
      <c r="K26" s="59">
        <v>3</v>
      </c>
      <c r="M26" s="68"/>
      <c r="N26" s="61"/>
      <c r="O26" s="62" t="s">
        <v>32</v>
      </c>
      <c r="P26" s="117" t="s">
        <v>33</v>
      </c>
      <c r="Q26" s="117"/>
      <c r="R26" s="62" t="s">
        <v>34</v>
      </c>
      <c r="S26" s="62"/>
    </row>
    <row r="27" spans="1:19" s="1" customFormat="1" ht="20.100000000000001" customHeight="1" thickBot="1" x14ac:dyDescent="0.3">
      <c r="A27" s="68"/>
      <c r="C27" s="2"/>
      <c r="F27" s="68"/>
      <c r="G27" s="29"/>
      <c r="H27" s="30"/>
      <c r="I27" s="30"/>
      <c r="J27" s="76" t="s">
        <v>93</v>
      </c>
      <c r="K27" s="66">
        <v>4</v>
      </c>
      <c r="L27" s="29"/>
      <c r="M27" s="68"/>
      <c r="N27" s="3"/>
      <c r="O27" s="54" t="s">
        <v>94</v>
      </c>
      <c r="P27" s="54" t="s">
        <v>95</v>
      </c>
      <c r="Q27" s="54" t="s">
        <v>96</v>
      </c>
      <c r="R27" s="54">
        <v>0</v>
      </c>
    </row>
    <row r="28" spans="1:19" s="1" customFormat="1" ht="20.100000000000001" customHeight="1" x14ac:dyDescent="0.25">
      <c r="A28" s="68"/>
      <c r="F28" s="68"/>
      <c r="H28" s="2"/>
      <c r="I28" s="2"/>
      <c r="J28" s="72"/>
      <c r="K28" s="2"/>
      <c r="M28" s="68"/>
      <c r="O28" s="2" t="s">
        <v>97</v>
      </c>
      <c r="P28" s="2"/>
      <c r="Q28" s="2" t="s">
        <v>98</v>
      </c>
      <c r="R28" s="59">
        <v>0.8</v>
      </c>
      <c r="S28" s="2"/>
    </row>
    <row r="29" spans="1:19" s="1" customFormat="1" ht="20.100000000000001" customHeight="1" thickBot="1" x14ac:dyDescent="0.3">
      <c r="A29" s="68"/>
      <c r="F29" s="68"/>
      <c r="G29" s="118" t="s">
        <v>194</v>
      </c>
      <c r="H29" s="118"/>
      <c r="I29" s="118"/>
      <c r="J29" s="118"/>
      <c r="K29" s="118"/>
      <c r="L29" s="118"/>
      <c r="M29" s="68"/>
      <c r="O29" s="2"/>
      <c r="P29" s="2"/>
      <c r="Q29" s="70" t="s">
        <v>99</v>
      </c>
      <c r="R29" s="59">
        <v>1</v>
      </c>
      <c r="S29" s="2"/>
    </row>
    <row r="30" spans="1:19" s="1" customFormat="1" ht="20.100000000000001" customHeight="1" x14ac:dyDescent="0.25">
      <c r="A30" s="68"/>
      <c r="F30" s="68"/>
      <c r="G30" s="69"/>
      <c r="H30" s="62" t="s">
        <v>32</v>
      </c>
      <c r="I30" s="117" t="s">
        <v>33</v>
      </c>
      <c r="J30" s="117"/>
      <c r="K30" s="62" t="s">
        <v>34</v>
      </c>
      <c r="L30" s="69"/>
      <c r="M30" s="68"/>
      <c r="O30" s="2"/>
      <c r="P30" s="2"/>
      <c r="Q30" s="71" t="s">
        <v>100</v>
      </c>
      <c r="R30" s="59">
        <v>1.2</v>
      </c>
      <c r="S30" s="2"/>
    </row>
    <row r="31" spans="1:19" s="1" customFormat="1" ht="20.100000000000001" customHeight="1" x14ac:dyDescent="0.25">
      <c r="A31" s="68"/>
      <c r="F31" s="68"/>
      <c r="G31" s="3"/>
      <c r="H31" s="54" t="s">
        <v>43</v>
      </c>
      <c r="I31" s="55" t="s">
        <v>101</v>
      </c>
      <c r="J31" s="75" t="s">
        <v>102</v>
      </c>
      <c r="K31" s="67">
        <v>0.2</v>
      </c>
      <c r="L31" s="3"/>
      <c r="M31" s="68"/>
      <c r="O31" s="2"/>
      <c r="P31" s="2"/>
      <c r="Q31" s="2" t="s">
        <v>103</v>
      </c>
      <c r="R31" s="59">
        <v>1.4</v>
      </c>
      <c r="S31" s="2"/>
    </row>
    <row r="32" spans="1:19" s="1" customFormat="1" ht="20.100000000000001" customHeight="1" x14ac:dyDescent="0.25">
      <c r="A32" s="68"/>
      <c r="F32" s="68"/>
      <c r="H32" s="2"/>
      <c r="I32" s="2" t="s">
        <v>104</v>
      </c>
      <c r="J32" s="72" t="s">
        <v>105</v>
      </c>
      <c r="K32" s="59">
        <v>0.4</v>
      </c>
      <c r="M32" s="68"/>
      <c r="O32" s="2"/>
      <c r="P32" s="2" t="s">
        <v>106</v>
      </c>
      <c r="Q32" s="2" t="s">
        <v>96</v>
      </c>
      <c r="R32" s="59">
        <v>0</v>
      </c>
      <c r="S32" s="2"/>
    </row>
    <row r="33" spans="1:19" s="1" customFormat="1" ht="20.100000000000001" customHeight="1" x14ac:dyDescent="0.25">
      <c r="A33" s="68"/>
      <c r="F33" s="68"/>
      <c r="H33" s="2"/>
      <c r="I33" s="2"/>
      <c r="J33" s="72" t="s">
        <v>107</v>
      </c>
      <c r="K33" s="59">
        <v>0.6</v>
      </c>
      <c r="M33" s="68"/>
      <c r="O33" s="2"/>
      <c r="Q33" s="2" t="s">
        <v>108</v>
      </c>
      <c r="R33" s="59">
        <v>0.8</v>
      </c>
      <c r="S33" s="2"/>
    </row>
    <row r="34" spans="1:19" s="1" customFormat="1" ht="20.100000000000001" customHeight="1" x14ac:dyDescent="0.25">
      <c r="A34" s="68"/>
      <c r="F34" s="68"/>
      <c r="H34" s="2"/>
      <c r="I34" s="2"/>
      <c r="J34" s="72" t="s">
        <v>109</v>
      </c>
      <c r="K34" s="59">
        <v>0.8</v>
      </c>
      <c r="M34" s="68"/>
      <c r="O34" s="2"/>
      <c r="P34" s="2"/>
      <c r="Q34" s="71" t="s">
        <v>110</v>
      </c>
      <c r="R34" s="59">
        <v>1.2</v>
      </c>
      <c r="S34" s="2"/>
    </row>
    <row r="35" spans="1:19" s="1" customFormat="1" ht="20.100000000000001" customHeight="1" x14ac:dyDescent="0.25">
      <c r="A35" s="68"/>
      <c r="F35" s="68"/>
      <c r="H35" s="2"/>
      <c r="I35" s="2"/>
      <c r="J35" s="72" t="s">
        <v>111</v>
      </c>
      <c r="K35" s="59">
        <v>1</v>
      </c>
      <c r="M35" s="68"/>
      <c r="O35" s="2"/>
      <c r="P35" s="2"/>
      <c r="Q35" s="71" t="s">
        <v>112</v>
      </c>
      <c r="R35" s="59">
        <v>1.2</v>
      </c>
      <c r="S35" s="2"/>
    </row>
    <row r="36" spans="1:19" s="1" customFormat="1" ht="20.100000000000001" customHeight="1" x14ac:dyDescent="0.25">
      <c r="A36" s="68"/>
      <c r="F36" s="68"/>
      <c r="H36" s="2"/>
      <c r="I36" s="2" t="s">
        <v>113</v>
      </c>
      <c r="J36" s="72" t="s">
        <v>114</v>
      </c>
      <c r="K36" s="59">
        <v>0.2</v>
      </c>
      <c r="M36" s="68"/>
      <c r="O36" s="2"/>
      <c r="P36" s="2"/>
      <c r="Q36" s="2" t="s">
        <v>115</v>
      </c>
      <c r="R36" s="59">
        <v>1.4</v>
      </c>
      <c r="S36" s="2"/>
    </row>
    <row r="37" spans="1:19" s="1" customFormat="1" ht="20.100000000000001" customHeight="1" x14ac:dyDescent="0.25">
      <c r="A37" s="68"/>
      <c r="F37" s="68"/>
      <c r="H37" s="2"/>
      <c r="I37" s="2" t="s">
        <v>116</v>
      </c>
      <c r="J37" s="72" t="s">
        <v>117</v>
      </c>
      <c r="K37" s="59">
        <v>0.4</v>
      </c>
      <c r="M37" s="68"/>
      <c r="O37" s="2"/>
      <c r="P37" s="2" t="s">
        <v>118</v>
      </c>
      <c r="Q37" s="2" t="s">
        <v>96</v>
      </c>
      <c r="R37" s="59">
        <v>0</v>
      </c>
      <c r="S37" s="2"/>
    </row>
    <row r="38" spans="1:19" s="1" customFormat="1" ht="20.100000000000001" customHeight="1" x14ac:dyDescent="0.25">
      <c r="A38" s="68"/>
      <c r="F38" s="68"/>
      <c r="H38" s="2"/>
      <c r="I38" s="2"/>
      <c r="J38" s="72" t="s">
        <v>119</v>
      </c>
      <c r="K38" s="59">
        <v>0.6</v>
      </c>
      <c r="M38" s="68"/>
      <c r="O38" s="2"/>
      <c r="Q38" s="71" t="s">
        <v>120</v>
      </c>
      <c r="R38" s="59">
        <v>0.8</v>
      </c>
      <c r="S38" s="2"/>
    </row>
    <row r="39" spans="1:19" s="1" customFormat="1" ht="20.100000000000001" customHeight="1" x14ac:dyDescent="0.25">
      <c r="A39" s="68"/>
      <c r="F39" s="68"/>
      <c r="H39" s="2"/>
      <c r="I39" s="2"/>
      <c r="J39" s="72" t="s">
        <v>121</v>
      </c>
      <c r="K39" s="59">
        <v>0.8</v>
      </c>
      <c r="M39" s="68"/>
      <c r="O39" s="2"/>
      <c r="P39" s="2"/>
      <c r="Q39" s="71" t="s">
        <v>122</v>
      </c>
      <c r="R39" s="59">
        <v>1</v>
      </c>
      <c r="S39" s="2"/>
    </row>
    <row r="40" spans="1:19" s="1" customFormat="1" ht="20.100000000000001" customHeight="1" x14ac:dyDescent="0.25">
      <c r="A40" s="68"/>
      <c r="F40" s="68"/>
      <c r="H40" s="2"/>
      <c r="I40" s="2"/>
      <c r="J40" s="72" t="s">
        <v>123</v>
      </c>
      <c r="K40" s="59">
        <v>1</v>
      </c>
      <c r="M40" s="68"/>
      <c r="O40" s="2"/>
      <c r="P40" s="2"/>
      <c r="Q40" s="71" t="s">
        <v>124</v>
      </c>
      <c r="R40" s="59">
        <v>1.2</v>
      </c>
      <c r="S40" s="2"/>
    </row>
    <row r="41" spans="1:19" s="1" customFormat="1" ht="20.100000000000001" customHeight="1" x14ac:dyDescent="0.25">
      <c r="A41" s="68"/>
      <c r="F41" s="68"/>
      <c r="H41" s="2"/>
      <c r="I41" s="2" t="s">
        <v>125</v>
      </c>
      <c r="J41" s="72" t="s">
        <v>126</v>
      </c>
      <c r="K41" s="59">
        <v>0.2</v>
      </c>
      <c r="M41" s="68"/>
      <c r="O41" s="2" t="s">
        <v>94</v>
      </c>
      <c r="P41" s="2" t="s">
        <v>95</v>
      </c>
      <c r="Q41" s="2" t="s">
        <v>96</v>
      </c>
      <c r="R41" s="2">
        <v>0</v>
      </c>
      <c r="S41" s="2"/>
    </row>
    <row r="42" spans="1:19" s="1" customFormat="1" ht="20.100000000000001" customHeight="1" x14ac:dyDescent="0.25">
      <c r="A42" s="68"/>
      <c r="F42" s="68"/>
      <c r="H42" s="2"/>
      <c r="I42" s="2"/>
      <c r="J42" s="72" t="s">
        <v>127</v>
      </c>
      <c r="K42" s="59">
        <v>0.4</v>
      </c>
      <c r="M42" s="68"/>
      <c r="O42" s="2" t="s">
        <v>128</v>
      </c>
      <c r="P42" s="2"/>
      <c r="Q42" s="2" t="s">
        <v>129</v>
      </c>
      <c r="R42" s="59">
        <v>0.5</v>
      </c>
      <c r="S42" s="2"/>
    </row>
    <row r="43" spans="1:19" s="1" customFormat="1" ht="20.100000000000001" customHeight="1" x14ac:dyDescent="0.25">
      <c r="A43" s="68"/>
      <c r="F43" s="68"/>
      <c r="H43" s="2"/>
      <c r="I43" s="2"/>
      <c r="J43" s="72" t="s">
        <v>130</v>
      </c>
      <c r="K43" s="59">
        <v>0.6</v>
      </c>
      <c r="M43" s="68"/>
      <c r="O43" s="2"/>
      <c r="P43" s="2"/>
      <c r="Q43" s="2" t="s">
        <v>131</v>
      </c>
      <c r="R43" s="59">
        <v>0.6</v>
      </c>
      <c r="S43" s="2"/>
    </row>
    <row r="44" spans="1:19" s="1" customFormat="1" ht="20.100000000000001" customHeight="1" x14ac:dyDescent="0.25">
      <c r="A44" s="68"/>
      <c r="F44" s="68"/>
      <c r="H44" s="2"/>
      <c r="I44" s="2"/>
      <c r="J44" s="72" t="s">
        <v>132</v>
      </c>
      <c r="K44" s="59">
        <v>0.8</v>
      </c>
      <c r="M44" s="68"/>
      <c r="O44" s="2"/>
      <c r="P44" s="2"/>
      <c r="Q44" s="2" t="s">
        <v>133</v>
      </c>
      <c r="R44" s="59">
        <v>0.7</v>
      </c>
      <c r="S44" s="2"/>
    </row>
    <row r="45" spans="1:19" s="1" customFormat="1" ht="20.100000000000001" customHeight="1" x14ac:dyDescent="0.25">
      <c r="A45" s="68"/>
      <c r="F45" s="68"/>
      <c r="H45" s="2"/>
      <c r="I45" s="2"/>
      <c r="J45" s="72" t="s">
        <v>134</v>
      </c>
      <c r="K45" s="59">
        <v>1</v>
      </c>
      <c r="M45" s="68"/>
      <c r="O45" s="2"/>
      <c r="P45" s="2" t="s">
        <v>135</v>
      </c>
      <c r="Q45" s="2" t="s">
        <v>96</v>
      </c>
      <c r="R45" s="59">
        <v>0</v>
      </c>
      <c r="S45" s="2"/>
    </row>
    <row r="46" spans="1:19" s="1" customFormat="1" ht="20.100000000000001" customHeight="1" x14ac:dyDescent="0.25">
      <c r="A46" s="68"/>
      <c r="F46" s="68"/>
      <c r="H46" s="2"/>
      <c r="I46" s="2" t="s">
        <v>136</v>
      </c>
      <c r="J46" s="72" t="s">
        <v>137</v>
      </c>
      <c r="K46" s="59">
        <v>0.4</v>
      </c>
      <c r="M46" s="68"/>
      <c r="O46" s="2"/>
      <c r="Q46" s="71" t="s">
        <v>138</v>
      </c>
      <c r="R46" s="59">
        <v>0.4</v>
      </c>
      <c r="S46" s="2"/>
    </row>
    <row r="47" spans="1:19" s="1" customFormat="1" ht="20.100000000000001" customHeight="1" x14ac:dyDescent="0.25">
      <c r="A47" s="68"/>
      <c r="F47" s="68"/>
      <c r="H47" s="2"/>
      <c r="I47" s="2"/>
      <c r="J47" s="72" t="s">
        <v>139</v>
      </c>
      <c r="K47" s="59">
        <v>0.6</v>
      </c>
      <c r="M47" s="68"/>
      <c r="O47" s="2"/>
      <c r="P47" s="2"/>
      <c r="Q47" s="71" t="s">
        <v>140</v>
      </c>
      <c r="R47" s="59">
        <v>0.6</v>
      </c>
      <c r="S47" s="2"/>
    </row>
    <row r="48" spans="1:19" s="1" customFormat="1" ht="20.100000000000001" customHeight="1" x14ac:dyDescent="0.25">
      <c r="A48" s="68"/>
      <c r="F48" s="68"/>
      <c r="H48" s="2"/>
      <c r="I48" s="2"/>
      <c r="J48" s="72" t="s">
        <v>141</v>
      </c>
      <c r="K48" s="59">
        <v>0.8</v>
      </c>
      <c r="M48" s="68"/>
      <c r="O48" s="2"/>
      <c r="P48" s="2"/>
      <c r="Q48" s="71" t="s">
        <v>142</v>
      </c>
      <c r="R48" s="59">
        <v>0.8</v>
      </c>
      <c r="S48" s="2"/>
    </row>
    <row r="49" spans="1:19" s="1" customFormat="1" ht="20.100000000000001" customHeight="1" thickBot="1" x14ac:dyDescent="0.3">
      <c r="A49" s="68"/>
      <c r="F49" s="68"/>
      <c r="G49" s="29"/>
      <c r="H49" s="30"/>
      <c r="I49" s="30"/>
      <c r="J49" s="76" t="s">
        <v>143</v>
      </c>
      <c r="K49" s="66">
        <v>1</v>
      </c>
      <c r="L49" s="29"/>
      <c r="M49" s="68"/>
      <c r="O49" s="2"/>
      <c r="P49" s="2"/>
      <c r="Q49" s="71" t="s">
        <v>144</v>
      </c>
      <c r="R49" s="59">
        <v>1</v>
      </c>
      <c r="S49" s="2"/>
    </row>
    <row r="50" spans="1:19" s="1" customFormat="1" ht="20.100000000000001" customHeight="1" x14ac:dyDescent="0.25">
      <c r="A50" s="68"/>
      <c r="F50" s="68"/>
      <c r="H50" s="2"/>
      <c r="I50" s="2"/>
      <c r="J50" s="72"/>
      <c r="K50" s="59"/>
      <c r="M50" s="68"/>
      <c r="O50" s="2"/>
      <c r="P50" s="2"/>
      <c r="Q50" s="2" t="s">
        <v>145</v>
      </c>
      <c r="R50" s="59">
        <v>1.2</v>
      </c>
      <c r="S50" s="2"/>
    </row>
    <row r="51" spans="1:19" s="1" customFormat="1" ht="20.100000000000001" customHeight="1" thickBot="1" x14ac:dyDescent="0.3">
      <c r="A51" s="68"/>
      <c r="F51" s="68"/>
      <c r="G51" s="118" t="s">
        <v>195</v>
      </c>
      <c r="H51" s="118"/>
      <c r="I51" s="118"/>
      <c r="J51" s="118"/>
      <c r="K51" s="118"/>
      <c r="L51" s="118"/>
      <c r="M51" s="68"/>
      <c r="O51" s="2"/>
      <c r="P51" s="2" t="s">
        <v>146</v>
      </c>
      <c r="Q51" s="2" t="s">
        <v>96</v>
      </c>
      <c r="R51" s="59">
        <v>0</v>
      </c>
      <c r="S51" s="2"/>
    </row>
    <row r="52" spans="1:19" s="1" customFormat="1" ht="20.100000000000001" customHeight="1" x14ac:dyDescent="0.25">
      <c r="A52" s="68"/>
      <c r="F52" s="68"/>
      <c r="G52" s="69"/>
      <c r="H52" s="62" t="s">
        <v>32</v>
      </c>
      <c r="I52" s="117" t="s">
        <v>33</v>
      </c>
      <c r="J52" s="117"/>
      <c r="K52" s="62" t="s">
        <v>34</v>
      </c>
      <c r="L52" s="69"/>
      <c r="M52" s="68"/>
      <c r="O52" s="2"/>
      <c r="Q52" s="71" t="s">
        <v>147</v>
      </c>
      <c r="R52" s="59">
        <v>0.8</v>
      </c>
      <c r="S52" s="2"/>
    </row>
    <row r="53" spans="1:19" s="1" customFormat="1" ht="20.100000000000001" customHeight="1" x14ac:dyDescent="0.25">
      <c r="A53" s="68"/>
      <c r="F53" s="68"/>
      <c r="G53" s="3"/>
      <c r="H53" s="54" t="s">
        <v>13</v>
      </c>
      <c r="I53" s="54" t="s">
        <v>148</v>
      </c>
      <c r="J53" s="75" t="s">
        <v>149</v>
      </c>
      <c r="K53" s="67">
        <v>0.4</v>
      </c>
      <c r="L53" s="3"/>
      <c r="M53" s="68"/>
      <c r="O53" s="2"/>
      <c r="P53" s="2"/>
      <c r="Q53" s="71" t="s">
        <v>150</v>
      </c>
      <c r="R53" s="59">
        <v>1.2</v>
      </c>
      <c r="S53" s="2"/>
    </row>
    <row r="54" spans="1:19" s="1" customFormat="1" ht="20.100000000000001" customHeight="1" thickBot="1" x14ac:dyDescent="0.3">
      <c r="A54" s="68"/>
      <c r="F54" s="68"/>
      <c r="H54" s="2"/>
      <c r="I54" s="2"/>
      <c r="J54" s="72" t="s">
        <v>151</v>
      </c>
      <c r="K54" s="59">
        <v>0.8</v>
      </c>
      <c r="M54" s="68"/>
      <c r="N54" s="29"/>
      <c r="O54" s="30"/>
      <c r="P54" s="30"/>
      <c r="Q54" s="65" t="s">
        <v>152</v>
      </c>
      <c r="R54" s="66">
        <v>1.4</v>
      </c>
      <c r="S54" s="30"/>
    </row>
    <row r="55" spans="1:19" s="1" customFormat="1" ht="20.100000000000001" customHeight="1" x14ac:dyDescent="0.25">
      <c r="A55" s="68"/>
      <c r="F55" s="68"/>
      <c r="H55" s="2"/>
      <c r="I55" s="2"/>
      <c r="J55" s="72" t="s">
        <v>153</v>
      </c>
      <c r="K55" s="59">
        <v>1.2</v>
      </c>
      <c r="M55" s="68"/>
      <c r="O55" s="2"/>
      <c r="P55" s="2"/>
      <c r="Q55" s="2"/>
      <c r="R55" s="59"/>
      <c r="S55" s="2"/>
    </row>
    <row r="56" spans="1:19" s="1" customFormat="1" ht="20.100000000000001" customHeight="1" thickBot="1" x14ac:dyDescent="0.3">
      <c r="A56" s="68"/>
      <c r="F56" s="68"/>
      <c r="H56" s="2"/>
      <c r="I56" s="2"/>
      <c r="J56" s="72" t="s">
        <v>154</v>
      </c>
      <c r="K56" s="59">
        <v>1.6</v>
      </c>
      <c r="M56" s="68"/>
      <c r="N56" s="118" t="s">
        <v>155</v>
      </c>
      <c r="O56" s="118"/>
      <c r="P56" s="118"/>
      <c r="Q56" s="118"/>
      <c r="R56" s="118"/>
      <c r="S56" s="118"/>
    </row>
    <row r="57" spans="1:19" s="1" customFormat="1" ht="20.100000000000001" customHeight="1" x14ac:dyDescent="0.25">
      <c r="A57" s="68"/>
      <c r="F57" s="68"/>
      <c r="H57" s="2"/>
      <c r="I57" s="2"/>
      <c r="J57" s="72" t="s">
        <v>156</v>
      </c>
      <c r="K57" s="59">
        <v>2</v>
      </c>
      <c r="M57" s="68"/>
      <c r="N57" s="61"/>
      <c r="O57" s="62" t="s">
        <v>32</v>
      </c>
      <c r="P57" s="117" t="s">
        <v>33</v>
      </c>
      <c r="Q57" s="117"/>
      <c r="R57" s="62" t="s">
        <v>34</v>
      </c>
      <c r="S57" s="62"/>
    </row>
    <row r="58" spans="1:19" s="1" customFormat="1" ht="20.100000000000001" customHeight="1" x14ac:dyDescent="0.25">
      <c r="A58" s="68"/>
      <c r="F58" s="68"/>
      <c r="H58" s="2"/>
      <c r="I58" s="2" t="s">
        <v>157</v>
      </c>
      <c r="J58" s="72" t="s">
        <v>149</v>
      </c>
      <c r="K58" s="59">
        <v>0.8</v>
      </c>
      <c r="M58" s="68"/>
      <c r="N58" s="3"/>
      <c r="O58" s="54" t="s">
        <v>59</v>
      </c>
      <c r="P58" s="54"/>
      <c r="Q58" s="54" t="s">
        <v>158</v>
      </c>
      <c r="R58" s="67">
        <v>0.5</v>
      </c>
      <c r="S58" s="54"/>
    </row>
    <row r="59" spans="1:19" s="1" customFormat="1" ht="20.100000000000001" customHeight="1" x14ac:dyDescent="0.25">
      <c r="A59" s="68"/>
      <c r="F59" s="68"/>
      <c r="H59" s="2"/>
      <c r="I59" s="2"/>
      <c r="J59" s="72" t="s">
        <v>159</v>
      </c>
      <c r="K59" s="59">
        <v>1.4</v>
      </c>
      <c r="M59" s="68"/>
      <c r="O59" s="2"/>
      <c r="P59" s="2"/>
      <c r="Q59" s="2" t="s">
        <v>160</v>
      </c>
      <c r="R59" s="59">
        <v>1</v>
      </c>
      <c r="S59" s="2"/>
    </row>
    <row r="60" spans="1:19" s="1" customFormat="1" ht="20.100000000000001" customHeight="1" x14ac:dyDescent="0.25">
      <c r="A60" s="68"/>
      <c r="F60" s="68"/>
      <c r="H60" s="2"/>
      <c r="I60" s="2"/>
      <c r="J60" s="72" t="s">
        <v>161</v>
      </c>
      <c r="K60" s="59">
        <v>2</v>
      </c>
      <c r="M60" s="68"/>
      <c r="O60" s="2"/>
      <c r="P60" s="2"/>
      <c r="Q60" s="2" t="s">
        <v>162</v>
      </c>
      <c r="R60" s="59">
        <v>1.5</v>
      </c>
      <c r="S60" s="2"/>
    </row>
    <row r="61" spans="1:19" s="1" customFormat="1" ht="20.100000000000001" customHeight="1" thickBot="1" x14ac:dyDescent="0.3">
      <c r="A61" s="68"/>
      <c r="F61" s="68"/>
      <c r="H61" s="2"/>
      <c r="I61" s="2" t="s">
        <v>163</v>
      </c>
      <c r="J61" s="72" t="s">
        <v>164</v>
      </c>
      <c r="K61" s="59">
        <v>0.3</v>
      </c>
      <c r="M61" s="68"/>
      <c r="N61" s="29"/>
      <c r="O61" s="30"/>
      <c r="P61" s="30"/>
      <c r="Q61" s="30" t="s">
        <v>165</v>
      </c>
      <c r="R61" s="66">
        <v>1.2</v>
      </c>
      <c r="S61" s="30"/>
    </row>
    <row r="62" spans="1:19" s="1" customFormat="1" ht="20.100000000000001" customHeight="1" x14ac:dyDescent="0.25">
      <c r="A62" s="68"/>
      <c r="F62" s="68"/>
      <c r="H62" s="2"/>
      <c r="I62" s="2" t="s">
        <v>166</v>
      </c>
      <c r="J62" s="72" t="s">
        <v>167</v>
      </c>
      <c r="K62" s="59">
        <v>0.6</v>
      </c>
      <c r="M62" s="68"/>
      <c r="O62" s="2"/>
      <c r="P62" s="2"/>
      <c r="Q62" s="2"/>
      <c r="R62" s="59"/>
      <c r="S62" s="2"/>
    </row>
    <row r="63" spans="1:19" s="1" customFormat="1" ht="20.100000000000001" customHeight="1" x14ac:dyDescent="0.25">
      <c r="A63" s="68"/>
      <c r="F63" s="68"/>
      <c r="H63" s="2"/>
      <c r="I63" s="2"/>
      <c r="J63" s="72" t="s">
        <v>168</v>
      </c>
      <c r="K63" s="59">
        <v>0.9</v>
      </c>
      <c r="M63" s="68"/>
      <c r="O63" s="2"/>
      <c r="P63" s="2"/>
      <c r="Q63" s="2"/>
      <c r="R63" s="59"/>
      <c r="S63" s="2"/>
    </row>
    <row r="64" spans="1:19" s="1" customFormat="1" ht="20.100000000000001" customHeight="1" x14ac:dyDescent="0.25">
      <c r="A64" s="68"/>
      <c r="F64" s="68"/>
      <c r="H64" s="2"/>
      <c r="I64" s="2"/>
      <c r="J64" s="72" t="s">
        <v>169</v>
      </c>
      <c r="K64" s="59">
        <v>1.2</v>
      </c>
      <c r="M64" s="68"/>
      <c r="O64" s="2"/>
      <c r="P64" s="2"/>
      <c r="Q64" s="2"/>
      <c r="R64" s="59"/>
      <c r="S64" s="2"/>
    </row>
    <row r="65" spans="1:19" s="1" customFormat="1" ht="20.100000000000001" customHeight="1" x14ac:dyDescent="0.25">
      <c r="A65" s="68"/>
      <c r="F65" s="68"/>
      <c r="H65" s="2"/>
      <c r="I65" s="2"/>
      <c r="J65" s="72" t="s">
        <v>170</v>
      </c>
      <c r="K65" s="59">
        <v>1.6</v>
      </c>
      <c r="M65" s="68"/>
      <c r="O65" s="2"/>
      <c r="P65" s="2"/>
      <c r="Q65" s="2"/>
      <c r="R65" s="59"/>
      <c r="S65" s="2"/>
    </row>
    <row r="66" spans="1:19" s="1" customFormat="1" ht="20.100000000000001" customHeight="1" x14ac:dyDescent="0.25">
      <c r="A66" s="68"/>
      <c r="F66" s="68"/>
      <c r="H66" s="2"/>
      <c r="I66" s="2"/>
      <c r="J66" s="72" t="s">
        <v>171</v>
      </c>
      <c r="K66" s="59">
        <v>2</v>
      </c>
      <c r="M66" s="68"/>
      <c r="O66" s="2"/>
      <c r="P66" s="2"/>
      <c r="Q66" s="2"/>
      <c r="R66" s="59"/>
      <c r="S66" s="2"/>
    </row>
    <row r="67" spans="1:19" s="1" customFormat="1" ht="20.100000000000001" customHeight="1" x14ac:dyDescent="0.25">
      <c r="A67" s="68"/>
      <c r="F67" s="68"/>
      <c r="H67" s="2"/>
      <c r="I67" s="2" t="s">
        <v>172</v>
      </c>
      <c r="J67" s="72" t="s">
        <v>173</v>
      </c>
      <c r="K67" s="59">
        <v>0.15</v>
      </c>
      <c r="M67" s="68"/>
      <c r="O67" s="2"/>
      <c r="P67" s="2"/>
      <c r="Q67" s="2"/>
      <c r="R67" s="59"/>
      <c r="S67" s="2"/>
    </row>
    <row r="68" spans="1:19" s="1" customFormat="1" ht="20.100000000000001" customHeight="1" x14ac:dyDescent="0.25">
      <c r="A68" s="68"/>
      <c r="F68" s="68"/>
      <c r="H68" s="2"/>
      <c r="I68" s="2"/>
      <c r="J68" s="72" t="s">
        <v>174</v>
      </c>
      <c r="K68" s="59">
        <v>0.2</v>
      </c>
      <c r="M68" s="68"/>
      <c r="O68" s="2"/>
      <c r="P68" s="2"/>
      <c r="Q68" s="2"/>
      <c r="R68" s="59"/>
      <c r="S68" s="2"/>
    </row>
    <row r="69" spans="1:19" s="1" customFormat="1" ht="20.100000000000001" customHeight="1" x14ac:dyDescent="0.25">
      <c r="A69" s="68"/>
      <c r="F69" s="68"/>
      <c r="H69" s="2"/>
      <c r="I69" s="2"/>
      <c r="J69" s="72" t="s">
        <v>175</v>
      </c>
      <c r="K69" s="59">
        <v>0.25</v>
      </c>
      <c r="M69" s="68"/>
      <c r="O69" s="2"/>
      <c r="P69" s="2"/>
      <c r="Q69" s="2"/>
      <c r="R69" s="59"/>
      <c r="S69" s="2"/>
    </row>
    <row r="70" spans="1:19" s="1" customFormat="1" ht="20.100000000000001" customHeight="1" x14ac:dyDescent="0.25">
      <c r="A70" s="68"/>
      <c r="F70" s="68"/>
      <c r="H70" s="2"/>
      <c r="I70" s="2" t="s">
        <v>176</v>
      </c>
      <c r="J70" s="72" t="s">
        <v>177</v>
      </c>
      <c r="K70" s="59">
        <v>0.1</v>
      </c>
      <c r="M70" s="68"/>
      <c r="O70" s="2"/>
      <c r="P70" s="2"/>
      <c r="Q70" s="2"/>
      <c r="R70" s="59"/>
      <c r="S70" s="2"/>
    </row>
    <row r="71" spans="1:19" s="1" customFormat="1" ht="20.100000000000001" customHeight="1" x14ac:dyDescent="0.25">
      <c r="A71" s="68"/>
      <c r="F71" s="68"/>
      <c r="H71" s="2"/>
      <c r="I71" s="2"/>
      <c r="J71" s="72" t="s">
        <v>178</v>
      </c>
      <c r="K71" s="59">
        <v>0.15</v>
      </c>
      <c r="M71" s="68"/>
      <c r="O71" s="2"/>
      <c r="P71" s="2"/>
      <c r="Q71" s="2"/>
      <c r="R71" s="59"/>
      <c r="S71" s="2"/>
    </row>
    <row r="72" spans="1:19" s="1" customFormat="1" ht="20.100000000000001" customHeight="1" x14ac:dyDescent="0.25">
      <c r="A72" s="68"/>
      <c r="F72" s="68"/>
      <c r="H72" s="2"/>
      <c r="I72" s="2"/>
      <c r="J72" s="72" t="s">
        <v>179</v>
      </c>
      <c r="K72" s="59">
        <v>0.2</v>
      </c>
      <c r="M72" s="68"/>
      <c r="O72" s="2"/>
      <c r="P72" s="2"/>
      <c r="Q72" s="2"/>
      <c r="R72" s="59"/>
      <c r="S72" s="2"/>
    </row>
    <row r="73" spans="1:19" s="1" customFormat="1" ht="20.100000000000001" customHeight="1" x14ac:dyDescent="0.25">
      <c r="A73" s="68"/>
      <c r="F73" s="68"/>
      <c r="H73" s="2"/>
      <c r="I73" s="2"/>
      <c r="J73" s="72" t="s">
        <v>175</v>
      </c>
      <c r="K73" s="59">
        <v>0.25</v>
      </c>
      <c r="M73" s="68"/>
      <c r="O73" s="2"/>
      <c r="P73" s="2"/>
      <c r="Q73" s="2"/>
      <c r="R73" s="59"/>
      <c r="S73" s="2"/>
    </row>
    <row r="74" spans="1:19" s="1" customFormat="1" ht="20.100000000000001" customHeight="1" x14ac:dyDescent="0.25">
      <c r="A74" s="68"/>
      <c r="F74" s="68"/>
      <c r="H74" s="2"/>
      <c r="I74" s="2" t="s">
        <v>180</v>
      </c>
      <c r="J74" s="72" t="s">
        <v>181</v>
      </c>
      <c r="K74" s="59">
        <v>0.5</v>
      </c>
      <c r="M74" s="68"/>
      <c r="O74" s="2"/>
      <c r="P74" s="2"/>
      <c r="Q74" s="2"/>
      <c r="R74" s="59"/>
      <c r="S74" s="2"/>
    </row>
    <row r="75" spans="1:19" s="1" customFormat="1" ht="20.100000000000001" customHeight="1" x14ac:dyDescent="0.25">
      <c r="A75" s="68"/>
      <c r="F75" s="68"/>
      <c r="H75" s="2"/>
      <c r="I75" s="2"/>
      <c r="J75" s="72" t="s">
        <v>182</v>
      </c>
      <c r="K75" s="59">
        <v>0.4</v>
      </c>
      <c r="M75" s="68"/>
      <c r="O75" s="2"/>
      <c r="P75" s="2"/>
      <c r="Q75" s="2"/>
      <c r="R75" s="59"/>
      <c r="S75" s="2"/>
    </row>
    <row r="76" spans="1:19" s="1" customFormat="1" ht="20.100000000000001" customHeight="1" x14ac:dyDescent="0.25">
      <c r="A76" s="68"/>
      <c r="F76" s="68"/>
      <c r="H76" s="2"/>
      <c r="I76" s="2"/>
      <c r="J76" s="72" t="s">
        <v>183</v>
      </c>
      <c r="K76" s="59">
        <v>0.3</v>
      </c>
      <c r="M76" s="68"/>
      <c r="O76" s="2"/>
      <c r="P76" s="2"/>
      <c r="Q76" s="2"/>
      <c r="R76" s="59"/>
      <c r="S76" s="2"/>
    </row>
    <row r="77" spans="1:19" s="1" customFormat="1" ht="20.100000000000001" customHeight="1" x14ac:dyDescent="0.25">
      <c r="A77" s="68"/>
      <c r="F77" s="68"/>
      <c r="H77" s="2"/>
      <c r="I77" s="2"/>
      <c r="J77" s="72" t="s">
        <v>184</v>
      </c>
      <c r="K77" s="59">
        <v>0.2</v>
      </c>
      <c r="M77" s="68"/>
      <c r="O77" s="2"/>
      <c r="P77" s="2"/>
      <c r="Q77" s="2"/>
      <c r="R77" s="59"/>
      <c r="S77" s="2"/>
    </row>
    <row r="78" spans="1:19" s="1" customFormat="1" ht="20.100000000000001" customHeight="1" x14ac:dyDescent="0.25">
      <c r="A78" s="68"/>
      <c r="F78" s="68"/>
      <c r="H78" s="2"/>
      <c r="I78" s="2" t="s">
        <v>185</v>
      </c>
      <c r="J78" s="72" t="s">
        <v>181</v>
      </c>
      <c r="K78" s="59">
        <v>0.5</v>
      </c>
      <c r="M78" s="68"/>
      <c r="O78" s="2"/>
      <c r="P78" s="2"/>
      <c r="Q78" s="2"/>
      <c r="R78" s="59"/>
      <c r="S78" s="2"/>
    </row>
    <row r="79" spans="1:19" s="1" customFormat="1" ht="20.100000000000001" customHeight="1" x14ac:dyDescent="0.25">
      <c r="A79" s="68"/>
      <c r="F79" s="68"/>
      <c r="H79" s="2"/>
      <c r="I79" s="2"/>
      <c r="J79" s="72" t="s">
        <v>182</v>
      </c>
      <c r="K79" s="59">
        <v>0.4</v>
      </c>
      <c r="M79" s="68"/>
      <c r="O79" s="2"/>
      <c r="P79" s="2"/>
      <c r="Q79" s="2"/>
      <c r="R79" s="59"/>
      <c r="S79" s="2"/>
    </row>
    <row r="80" spans="1:19" s="1" customFormat="1" ht="20.100000000000001" customHeight="1" x14ac:dyDescent="0.25">
      <c r="A80" s="68"/>
      <c r="F80" s="68"/>
      <c r="H80" s="2"/>
      <c r="I80" s="2"/>
      <c r="J80" s="72" t="s">
        <v>183</v>
      </c>
      <c r="K80" s="59">
        <v>0.3</v>
      </c>
      <c r="M80" s="68"/>
      <c r="O80" s="2"/>
      <c r="P80" s="2"/>
      <c r="Q80" s="2"/>
      <c r="R80" s="59"/>
      <c r="S80" s="2"/>
    </row>
    <row r="81" spans="1:19" s="1" customFormat="1" ht="20.100000000000001" customHeight="1" x14ac:dyDescent="0.25">
      <c r="A81" s="68"/>
      <c r="F81" s="68"/>
      <c r="H81" s="2"/>
      <c r="I81" s="2"/>
      <c r="J81" s="72" t="s">
        <v>184</v>
      </c>
      <c r="K81" s="59">
        <v>0.2</v>
      </c>
      <c r="M81" s="68"/>
      <c r="O81" s="2"/>
      <c r="P81" s="2"/>
      <c r="Q81" s="2"/>
      <c r="R81" s="59"/>
      <c r="S81" s="2"/>
    </row>
    <row r="82" spans="1:19" s="1" customFormat="1" ht="20.100000000000001" customHeight="1" x14ac:dyDescent="0.25">
      <c r="A82" s="68"/>
      <c r="F82" s="68"/>
      <c r="H82" s="2"/>
      <c r="I82" s="2" t="s">
        <v>186</v>
      </c>
      <c r="J82" s="72" t="s">
        <v>181</v>
      </c>
      <c r="K82" s="59">
        <v>0.5</v>
      </c>
      <c r="M82" s="68"/>
      <c r="O82" s="2"/>
      <c r="P82" s="2"/>
      <c r="Q82" s="2"/>
      <c r="R82" s="59"/>
      <c r="S82" s="2"/>
    </row>
    <row r="83" spans="1:19" s="1" customFormat="1" ht="20.100000000000001" customHeight="1" x14ac:dyDescent="0.25">
      <c r="A83" s="68"/>
      <c r="F83" s="68"/>
      <c r="H83" s="2"/>
      <c r="I83" s="2"/>
      <c r="J83" s="72" t="s">
        <v>182</v>
      </c>
      <c r="K83" s="59">
        <v>0.4</v>
      </c>
      <c r="M83" s="68"/>
      <c r="O83" s="2"/>
      <c r="P83" s="2"/>
      <c r="Q83" s="2"/>
      <c r="R83" s="59"/>
      <c r="S83" s="2"/>
    </row>
    <row r="84" spans="1:19" s="1" customFormat="1" ht="20.100000000000001" customHeight="1" x14ac:dyDescent="0.25">
      <c r="A84" s="68"/>
      <c r="F84" s="68"/>
      <c r="H84" s="2"/>
      <c r="I84" s="2"/>
      <c r="J84" s="72" t="s">
        <v>183</v>
      </c>
      <c r="K84" s="59">
        <v>0.3</v>
      </c>
      <c r="M84" s="68"/>
      <c r="O84" s="2"/>
      <c r="P84" s="2"/>
      <c r="Q84" s="2"/>
      <c r="R84" s="59"/>
      <c r="S84" s="2"/>
    </row>
    <row r="85" spans="1:19" s="1" customFormat="1" ht="20.100000000000001" customHeight="1" thickBot="1" x14ac:dyDescent="0.3">
      <c r="A85" s="68"/>
      <c r="F85" s="68"/>
      <c r="G85" s="29"/>
      <c r="H85" s="30"/>
      <c r="I85" s="30"/>
      <c r="J85" s="76" t="s">
        <v>184</v>
      </c>
      <c r="K85" s="66">
        <v>0.2</v>
      </c>
      <c r="L85" s="29"/>
      <c r="M85" s="68"/>
      <c r="O85" s="2"/>
      <c r="P85" s="2"/>
      <c r="Q85" s="2"/>
      <c r="R85" s="59"/>
      <c r="S85" s="2"/>
    </row>
    <row r="86" spans="1:19" s="1" customFormat="1" ht="20.100000000000001" customHeight="1" x14ac:dyDescent="0.25">
      <c r="A86" s="68"/>
      <c r="F86" s="68"/>
      <c r="H86" s="2"/>
      <c r="I86" s="2"/>
      <c r="J86" s="72"/>
      <c r="K86" s="59"/>
      <c r="M86" s="68"/>
      <c r="O86" s="2"/>
      <c r="P86" s="2"/>
      <c r="Q86" s="2"/>
      <c r="R86" s="59"/>
      <c r="S86" s="2"/>
    </row>
    <row r="87" spans="1:19" s="1" customFormat="1" ht="20.100000000000001" customHeight="1" x14ac:dyDescent="0.25">
      <c r="A87" s="68"/>
      <c r="F87" s="68"/>
      <c r="H87" s="2"/>
      <c r="I87" s="2"/>
      <c r="J87" s="72"/>
      <c r="K87" s="59"/>
      <c r="M87" s="68"/>
      <c r="O87" s="2"/>
      <c r="P87" s="2"/>
      <c r="Q87" s="2"/>
      <c r="R87" s="59"/>
      <c r="S87" s="2"/>
    </row>
    <row r="88" spans="1:19" s="1" customFormat="1" ht="20.100000000000001" customHeight="1" x14ac:dyDescent="0.25">
      <c r="A88" s="68"/>
      <c r="F88" s="68"/>
      <c r="H88" s="2"/>
      <c r="I88" s="2"/>
      <c r="J88" s="72"/>
      <c r="K88" s="59"/>
      <c r="M88" s="68"/>
      <c r="O88" s="2"/>
      <c r="P88" s="2"/>
      <c r="Q88" s="2"/>
      <c r="R88" s="59"/>
      <c r="S88" s="2"/>
    </row>
    <row r="89" spans="1:19" s="1" customFormat="1" ht="20.100000000000001" customHeight="1" x14ac:dyDescent="0.25">
      <c r="A89" s="68"/>
      <c r="F89" s="68"/>
      <c r="H89" s="2"/>
      <c r="I89" s="2"/>
      <c r="J89" s="72"/>
      <c r="K89" s="59"/>
      <c r="M89" s="68"/>
      <c r="O89" s="2"/>
      <c r="P89" s="2"/>
      <c r="Q89" s="2"/>
      <c r="R89" s="59"/>
      <c r="S89" s="2"/>
    </row>
    <row r="90" spans="1:19" s="1" customFormat="1" ht="20.100000000000001" customHeight="1" x14ac:dyDescent="0.25">
      <c r="A90" s="68"/>
      <c r="F90" s="68"/>
      <c r="H90" s="2"/>
      <c r="I90" s="2"/>
      <c r="J90" s="72"/>
      <c r="K90" s="59"/>
      <c r="M90" s="68"/>
      <c r="O90" s="2"/>
      <c r="P90" s="2"/>
      <c r="Q90" s="2"/>
      <c r="R90" s="59"/>
      <c r="S90" s="2"/>
    </row>
    <row r="91" spans="1:19" s="1" customFormat="1" ht="20.100000000000001" customHeight="1" x14ac:dyDescent="0.25">
      <c r="A91" s="68"/>
      <c r="F91" s="68"/>
      <c r="H91" s="2"/>
      <c r="I91" s="2"/>
      <c r="J91" s="72"/>
      <c r="K91" s="59"/>
      <c r="M91" s="68"/>
      <c r="O91" s="2"/>
      <c r="P91" s="2"/>
      <c r="Q91" s="2"/>
      <c r="R91" s="59"/>
      <c r="S91" s="2"/>
    </row>
    <row r="92" spans="1:19" s="1" customFormat="1" ht="20.100000000000001" customHeight="1" x14ac:dyDescent="0.25">
      <c r="A92" s="68"/>
      <c r="F92" s="68"/>
      <c r="H92" s="2"/>
      <c r="I92" s="2"/>
      <c r="J92" s="72"/>
      <c r="K92" s="59"/>
      <c r="M92" s="68"/>
      <c r="O92" s="2"/>
      <c r="P92" s="2"/>
      <c r="Q92" s="2"/>
      <c r="R92" s="59"/>
      <c r="S92" s="2"/>
    </row>
    <row r="93" spans="1:19" s="1" customFormat="1" ht="20.100000000000001" customHeight="1" x14ac:dyDescent="0.25">
      <c r="A93" s="68"/>
      <c r="F93" s="68"/>
      <c r="H93" s="2"/>
      <c r="I93" s="2"/>
      <c r="J93" s="72"/>
      <c r="K93" s="59"/>
      <c r="M93" s="68"/>
      <c r="O93" s="2"/>
      <c r="P93" s="2"/>
      <c r="Q93" s="2"/>
      <c r="R93" s="59"/>
      <c r="S93" s="2"/>
    </row>
    <row r="94" spans="1:19" s="1" customFormat="1" ht="20.100000000000001" customHeight="1" x14ac:dyDescent="0.25">
      <c r="A94" s="68"/>
      <c r="F94" s="68"/>
      <c r="H94" s="2"/>
      <c r="I94" s="2"/>
      <c r="J94" s="72"/>
      <c r="K94" s="59"/>
      <c r="M94" s="68"/>
      <c r="O94" s="2"/>
      <c r="P94" s="2"/>
      <c r="Q94" s="2"/>
      <c r="R94" s="59"/>
      <c r="S94" s="2"/>
    </row>
    <row r="95" spans="1:19" s="1" customFormat="1" ht="20.100000000000001" customHeight="1" x14ac:dyDescent="0.25">
      <c r="A95" s="68"/>
      <c r="F95" s="68"/>
      <c r="H95" s="2"/>
      <c r="I95" s="2"/>
      <c r="J95" s="72"/>
      <c r="K95" s="59"/>
      <c r="M95" s="68"/>
      <c r="O95" s="2"/>
      <c r="P95" s="2"/>
      <c r="Q95" s="2"/>
      <c r="R95" s="59"/>
      <c r="S95" s="2"/>
    </row>
    <row r="96" spans="1:19" s="1" customFormat="1" ht="20.100000000000001" customHeight="1" x14ac:dyDescent="0.25">
      <c r="A96" s="68"/>
      <c r="F96" s="68"/>
      <c r="H96" s="2"/>
      <c r="I96" s="2"/>
      <c r="J96" s="72"/>
      <c r="K96" s="59"/>
      <c r="M96" s="68"/>
      <c r="O96" s="2"/>
      <c r="P96" s="2"/>
      <c r="Q96" s="2"/>
      <c r="R96" s="59"/>
      <c r="S96" s="2"/>
    </row>
    <row r="97" spans="1:19" s="1" customFormat="1" ht="20.100000000000001" customHeight="1" x14ac:dyDescent="0.25">
      <c r="A97" s="68"/>
      <c r="F97" s="68"/>
      <c r="H97" s="2"/>
      <c r="I97" s="2"/>
      <c r="J97" s="72"/>
      <c r="K97" s="59"/>
      <c r="M97" s="68"/>
      <c r="O97" s="2"/>
      <c r="P97" s="2"/>
      <c r="Q97" s="2"/>
      <c r="R97" s="59"/>
      <c r="S97" s="2"/>
    </row>
    <row r="98" spans="1:19" s="1" customFormat="1" ht="20.100000000000001" customHeight="1" x14ac:dyDescent="0.25">
      <c r="A98" s="68"/>
      <c r="F98" s="68"/>
      <c r="H98" s="2"/>
      <c r="I98" s="2"/>
      <c r="J98" s="72"/>
      <c r="K98" s="59"/>
      <c r="M98" s="68"/>
      <c r="O98" s="2"/>
      <c r="P98" s="2"/>
      <c r="Q98" s="2"/>
      <c r="R98" s="59"/>
      <c r="S98" s="2"/>
    </row>
    <row r="99" spans="1:19" s="1" customFormat="1" ht="20.100000000000001" customHeight="1" x14ac:dyDescent="0.25">
      <c r="A99" s="68"/>
      <c r="F99" s="68"/>
      <c r="H99" s="2"/>
      <c r="I99" s="2"/>
      <c r="J99" s="72"/>
      <c r="K99" s="59"/>
      <c r="M99" s="68"/>
      <c r="O99" s="2"/>
      <c r="P99" s="2"/>
      <c r="Q99" s="2"/>
      <c r="R99" s="59"/>
      <c r="S99" s="2"/>
    </row>
    <row r="100" spans="1:19" s="1" customFormat="1" ht="20.100000000000001" customHeight="1" x14ac:dyDescent="0.25">
      <c r="A100" s="68"/>
      <c r="F100" s="68"/>
      <c r="H100" s="2"/>
      <c r="I100" s="2"/>
      <c r="J100" s="72"/>
      <c r="K100" s="59"/>
      <c r="M100" s="68"/>
      <c r="O100" s="2"/>
      <c r="P100" s="2"/>
      <c r="Q100" s="2"/>
      <c r="R100" s="59"/>
      <c r="S100" s="2"/>
    </row>
    <row r="101" spans="1:19" s="1" customFormat="1" ht="20.100000000000001" customHeight="1" x14ac:dyDescent="0.25">
      <c r="A101" s="68"/>
      <c r="F101" s="68"/>
      <c r="H101" s="2"/>
      <c r="I101" s="2"/>
      <c r="J101" s="72"/>
      <c r="K101" s="59"/>
      <c r="M101" s="68"/>
      <c r="O101" s="2"/>
      <c r="P101" s="2"/>
      <c r="Q101" s="2"/>
      <c r="R101" s="59"/>
      <c r="S101" s="2"/>
    </row>
    <row r="102" spans="1:19" s="1" customFormat="1" ht="20.100000000000001" customHeight="1" x14ac:dyDescent="0.25">
      <c r="A102" s="68"/>
      <c r="F102" s="68"/>
      <c r="H102" s="2"/>
      <c r="I102" s="2"/>
      <c r="J102" s="72"/>
      <c r="K102" s="59"/>
      <c r="M102" s="68"/>
      <c r="O102" s="2"/>
      <c r="P102" s="2"/>
      <c r="Q102" s="2"/>
      <c r="R102" s="59"/>
      <c r="S102" s="2"/>
    </row>
    <row r="103" spans="1:19" s="1" customFormat="1" ht="20.100000000000001" customHeight="1" x14ac:dyDescent="0.25">
      <c r="A103" s="68"/>
      <c r="F103" s="68"/>
      <c r="H103" s="2"/>
      <c r="I103" s="2"/>
      <c r="J103" s="72"/>
      <c r="K103" s="59"/>
      <c r="M103" s="68"/>
      <c r="O103" s="2"/>
      <c r="P103" s="2"/>
      <c r="Q103" s="2"/>
      <c r="R103" s="59"/>
      <c r="S103" s="2"/>
    </row>
    <row r="104" spans="1:19" s="1" customFormat="1" ht="20.100000000000001" customHeight="1" x14ac:dyDescent="0.25">
      <c r="A104" s="68"/>
      <c r="F104" s="68"/>
      <c r="H104" s="2"/>
      <c r="I104" s="2"/>
      <c r="J104" s="72"/>
      <c r="K104" s="59"/>
      <c r="M104" s="68"/>
      <c r="O104" s="2"/>
      <c r="P104" s="2"/>
      <c r="Q104" s="2"/>
      <c r="R104" s="59"/>
      <c r="S104" s="2"/>
    </row>
    <row r="105" spans="1:19" s="1" customFormat="1" ht="20.100000000000001" customHeight="1" x14ac:dyDescent="0.25">
      <c r="A105" s="68"/>
      <c r="F105" s="68"/>
      <c r="H105" s="2"/>
      <c r="I105" s="2"/>
      <c r="J105" s="72"/>
      <c r="K105" s="59"/>
      <c r="M105" s="68"/>
      <c r="O105" s="2"/>
      <c r="P105" s="2"/>
      <c r="Q105" s="2"/>
      <c r="R105" s="59"/>
      <c r="S105" s="2"/>
    </row>
    <row r="106" spans="1:19" s="1" customFormat="1" ht="20.100000000000001" customHeight="1" x14ac:dyDescent="0.25">
      <c r="A106" s="68"/>
      <c r="F106" s="68"/>
      <c r="H106" s="2"/>
      <c r="I106" s="2"/>
      <c r="J106" s="72"/>
      <c r="K106" s="59"/>
      <c r="M106" s="68"/>
      <c r="O106" s="2"/>
      <c r="P106" s="2"/>
      <c r="Q106" s="2"/>
      <c r="R106" s="59"/>
      <c r="S106" s="2"/>
    </row>
    <row r="107" spans="1:19" s="1" customFormat="1" ht="20.100000000000001" customHeight="1" x14ac:dyDescent="0.25">
      <c r="A107" s="68"/>
      <c r="F107" s="68"/>
      <c r="H107" s="2"/>
      <c r="I107" s="2"/>
      <c r="J107" s="72"/>
      <c r="K107" s="59"/>
      <c r="M107" s="68"/>
      <c r="O107" s="2"/>
      <c r="P107" s="2"/>
      <c r="Q107" s="2"/>
      <c r="R107" s="59"/>
      <c r="S107" s="2"/>
    </row>
    <row r="108" spans="1:19" s="1" customFormat="1" ht="20.100000000000001" customHeight="1" x14ac:dyDescent="0.25">
      <c r="A108" s="68"/>
      <c r="F108" s="68"/>
      <c r="H108" s="2"/>
      <c r="I108" s="2"/>
      <c r="J108" s="72"/>
      <c r="K108" s="59"/>
      <c r="M108" s="68"/>
      <c r="O108" s="2"/>
      <c r="P108" s="2"/>
      <c r="Q108" s="2"/>
      <c r="R108" s="59"/>
      <c r="S108" s="2"/>
    </row>
    <row r="109" spans="1:19" s="1" customFormat="1" ht="20.100000000000001" customHeight="1" x14ac:dyDescent="0.25">
      <c r="A109" s="68"/>
      <c r="F109" s="68"/>
      <c r="H109" s="2"/>
      <c r="I109" s="2"/>
      <c r="J109" s="72"/>
      <c r="K109" s="59"/>
      <c r="M109" s="68"/>
      <c r="O109" s="2"/>
      <c r="P109" s="2"/>
      <c r="Q109" s="2"/>
      <c r="R109" s="59"/>
      <c r="S109" s="2"/>
    </row>
    <row r="110" spans="1:19" s="1" customFormat="1" ht="20.100000000000001" customHeight="1" x14ac:dyDescent="0.25">
      <c r="A110" s="68"/>
      <c r="F110" s="68"/>
      <c r="H110" s="2"/>
      <c r="I110" s="2"/>
      <c r="J110" s="72"/>
      <c r="K110" s="59"/>
      <c r="M110" s="68"/>
      <c r="O110" s="2"/>
      <c r="P110" s="2"/>
      <c r="Q110" s="2"/>
      <c r="R110" s="59"/>
      <c r="S110" s="2"/>
    </row>
    <row r="111" spans="1:19" s="1" customFormat="1" ht="20.100000000000001" customHeight="1" x14ac:dyDescent="0.25">
      <c r="A111" s="68"/>
      <c r="F111" s="68"/>
      <c r="H111" s="2"/>
      <c r="I111" s="2"/>
      <c r="J111" s="72"/>
      <c r="K111" s="59"/>
      <c r="M111" s="68"/>
      <c r="O111" s="2"/>
      <c r="P111" s="2"/>
      <c r="Q111" s="2"/>
      <c r="R111" s="59"/>
      <c r="S111" s="2"/>
    </row>
    <row r="112" spans="1:19" s="1" customFormat="1" ht="20.100000000000001" customHeight="1" x14ac:dyDescent="0.25">
      <c r="A112" s="68"/>
      <c r="F112" s="68"/>
      <c r="H112" s="2"/>
      <c r="I112" s="2"/>
      <c r="J112" s="72"/>
      <c r="K112" s="59"/>
      <c r="M112" s="68"/>
      <c r="O112" s="2"/>
      <c r="P112" s="2"/>
      <c r="Q112" s="2"/>
      <c r="R112" s="59"/>
      <c r="S112" s="2"/>
    </row>
    <row r="113" spans="1:19" s="1" customFormat="1" ht="20.100000000000001" customHeight="1" x14ac:dyDescent="0.25">
      <c r="A113" s="68"/>
      <c r="F113" s="68"/>
      <c r="H113" s="2"/>
      <c r="I113" s="2"/>
      <c r="J113" s="72"/>
      <c r="K113" s="59"/>
      <c r="M113" s="68"/>
      <c r="O113" s="2"/>
      <c r="P113" s="2"/>
      <c r="Q113" s="2"/>
      <c r="R113" s="59"/>
      <c r="S113" s="2"/>
    </row>
    <row r="114" spans="1:19" s="1" customFormat="1" ht="20.100000000000001" customHeight="1" x14ac:dyDescent="0.25">
      <c r="A114" s="68"/>
      <c r="F114" s="68"/>
      <c r="H114" s="2"/>
      <c r="I114" s="2"/>
      <c r="J114" s="72"/>
      <c r="K114" s="59"/>
      <c r="M114" s="68"/>
      <c r="O114" s="2"/>
      <c r="P114" s="2"/>
      <c r="Q114" s="2"/>
      <c r="R114" s="59"/>
      <c r="S114" s="2"/>
    </row>
    <row r="115" spans="1:19" s="1" customFormat="1" ht="20.100000000000001" customHeight="1" x14ac:dyDescent="0.25">
      <c r="A115" s="68"/>
      <c r="F115" s="68"/>
      <c r="H115" s="2"/>
      <c r="I115" s="2"/>
      <c r="J115" s="72"/>
      <c r="K115" s="59"/>
      <c r="M115" s="68"/>
      <c r="O115" s="2"/>
      <c r="P115" s="2"/>
      <c r="Q115" s="2"/>
      <c r="R115" s="59"/>
      <c r="S115" s="2"/>
    </row>
    <row r="116" spans="1:19" s="1" customFormat="1" ht="20.100000000000001" customHeight="1" x14ac:dyDescent="0.25">
      <c r="A116" s="68"/>
      <c r="F116" s="68"/>
      <c r="H116" s="2"/>
      <c r="I116" s="2"/>
      <c r="J116" s="72"/>
      <c r="K116" s="59"/>
      <c r="M116" s="68"/>
      <c r="O116" s="2"/>
      <c r="P116" s="2"/>
      <c r="Q116" s="2"/>
      <c r="R116" s="59"/>
      <c r="S116" s="2"/>
    </row>
    <row r="117" spans="1:19" s="1" customFormat="1" ht="20.100000000000001" customHeight="1" x14ac:dyDescent="0.25">
      <c r="A117" s="68"/>
      <c r="F117" s="68"/>
      <c r="H117" s="2"/>
      <c r="I117" s="2"/>
      <c r="J117" s="72"/>
      <c r="K117" s="59"/>
      <c r="M117" s="68"/>
      <c r="O117" s="2"/>
      <c r="P117" s="2"/>
      <c r="Q117" s="2"/>
      <c r="R117" s="59"/>
      <c r="S117" s="2"/>
    </row>
    <row r="118" spans="1:19" s="1" customFormat="1" ht="20.100000000000001" customHeight="1" x14ac:dyDescent="0.25">
      <c r="A118" s="68"/>
      <c r="F118" s="68"/>
      <c r="H118" s="2"/>
      <c r="I118" s="2"/>
      <c r="J118" s="72"/>
      <c r="K118" s="59"/>
      <c r="M118" s="68"/>
      <c r="O118" s="2"/>
      <c r="P118" s="2"/>
      <c r="Q118" s="2"/>
      <c r="R118" s="59"/>
      <c r="S118" s="2"/>
    </row>
    <row r="119" spans="1:19" s="1" customFormat="1" ht="20.100000000000001" customHeight="1" x14ac:dyDescent="0.25">
      <c r="A119" s="68"/>
      <c r="F119" s="68"/>
      <c r="H119" s="2"/>
      <c r="I119" s="2"/>
      <c r="J119" s="72"/>
      <c r="K119" s="59"/>
      <c r="M119" s="68"/>
      <c r="O119" s="2"/>
      <c r="P119" s="2"/>
      <c r="Q119" s="2"/>
      <c r="R119" s="59"/>
      <c r="S119" s="2"/>
    </row>
    <row r="120" spans="1:19" s="1" customFormat="1" ht="20.100000000000001" customHeight="1" x14ac:dyDescent="0.25">
      <c r="A120" s="68"/>
      <c r="F120" s="68"/>
      <c r="H120" s="2"/>
      <c r="I120" s="2"/>
      <c r="J120" s="72"/>
      <c r="K120" s="59"/>
      <c r="M120" s="68"/>
      <c r="O120" s="2"/>
      <c r="P120" s="2"/>
      <c r="Q120" s="2"/>
      <c r="R120" s="59"/>
      <c r="S120" s="2"/>
    </row>
    <row r="121" spans="1:19" s="1" customFormat="1" ht="20.100000000000001" customHeight="1" x14ac:dyDescent="0.25">
      <c r="A121" s="68"/>
      <c r="F121" s="68"/>
      <c r="H121" s="2"/>
      <c r="I121" s="2"/>
      <c r="J121" s="72"/>
      <c r="K121" s="59"/>
      <c r="M121" s="68"/>
      <c r="O121" s="2"/>
      <c r="P121" s="2"/>
      <c r="Q121" s="2"/>
      <c r="R121" s="59"/>
      <c r="S121" s="2"/>
    </row>
    <row r="122" spans="1:19" s="1" customFormat="1" ht="20.100000000000001" customHeight="1" x14ac:dyDescent="0.25">
      <c r="A122" s="68"/>
      <c r="F122" s="68"/>
      <c r="H122" s="2"/>
      <c r="I122" s="2"/>
      <c r="J122" s="72"/>
      <c r="K122" s="59"/>
      <c r="M122" s="68"/>
      <c r="O122" s="2"/>
      <c r="P122" s="2"/>
      <c r="Q122" s="2"/>
      <c r="R122" s="59"/>
      <c r="S122" s="2"/>
    </row>
    <row r="123" spans="1:19" s="1" customFormat="1" ht="20.100000000000001" customHeight="1" x14ac:dyDescent="0.25">
      <c r="A123" s="68"/>
      <c r="F123" s="68"/>
      <c r="H123" s="2"/>
      <c r="I123" s="2"/>
      <c r="J123" s="72"/>
      <c r="K123" s="59"/>
      <c r="M123" s="68"/>
      <c r="O123" s="2"/>
      <c r="P123" s="2"/>
      <c r="Q123" s="2"/>
      <c r="R123" s="59"/>
      <c r="S123" s="2"/>
    </row>
    <row r="124" spans="1:19" s="1" customFormat="1" ht="20.100000000000001" customHeight="1" x14ac:dyDescent="0.25">
      <c r="A124" s="68"/>
      <c r="F124" s="68"/>
      <c r="H124" s="2"/>
      <c r="I124" s="2"/>
      <c r="J124" s="72"/>
      <c r="K124" s="59"/>
      <c r="M124" s="68"/>
      <c r="O124" s="2"/>
      <c r="P124" s="2"/>
      <c r="Q124" s="2"/>
      <c r="R124" s="59"/>
      <c r="S124" s="2"/>
    </row>
    <row r="125" spans="1:19" s="1" customFormat="1" ht="20.100000000000001" customHeight="1" x14ac:dyDescent="0.25">
      <c r="A125" s="68"/>
      <c r="F125" s="68"/>
      <c r="H125" s="2"/>
      <c r="I125" s="2"/>
      <c r="J125" s="72"/>
      <c r="K125" s="59"/>
      <c r="M125" s="68"/>
      <c r="O125" s="2"/>
      <c r="P125" s="2"/>
      <c r="Q125" s="2"/>
      <c r="R125" s="59"/>
      <c r="S125" s="2"/>
    </row>
    <row r="126" spans="1:19" s="1" customFormat="1" ht="20.100000000000001" customHeight="1" x14ac:dyDescent="0.25">
      <c r="A126" s="68"/>
      <c r="F126" s="68"/>
      <c r="H126" s="2"/>
      <c r="I126" s="2"/>
      <c r="J126" s="72"/>
      <c r="K126" s="59"/>
      <c r="M126" s="68"/>
      <c r="O126" s="2"/>
      <c r="P126" s="2"/>
      <c r="Q126" s="2"/>
      <c r="R126" s="59"/>
      <c r="S126" s="2"/>
    </row>
    <row r="127" spans="1:19" s="1" customFormat="1" ht="20.100000000000001" customHeight="1" x14ac:dyDescent="0.25">
      <c r="A127" s="68"/>
      <c r="F127" s="68"/>
      <c r="H127" s="2"/>
      <c r="I127" s="2"/>
      <c r="J127" s="72"/>
      <c r="K127" s="59"/>
      <c r="M127" s="68"/>
      <c r="O127" s="2"/>
      <c r="P127" s="2"/>
      <c r="Q127" s="2"/>
      <c r="R127" s="59"/>
      <c r="S127" s="2"/>
    </row>
    <row r="128" spans="1:19" s="1" customFormat="1" ht="20.100000000000001" customHeight="1" x14ac:dyDescent="0.25">
      <c r="A128" s="68"/>
      <c r="F128" s="68"/>
      <c r="H128" s="2"/>
      <c r="I128" s="2"/>
      <c r="J128" s="72"/>
      <c r="K128" s="59"/>
      <c r="M128" s="68"/>
      <c r="O128" s="2"/>
      <c r="P128" s="2"/>
      <c r="Q128" s="2"/>
      <c r="R128" s="59"/>
      <c r="S128" s="2"/>
    </row>
    <row r="129" spans="1:19" s="1" customFormat="1" ht="20.100000000000001" customHeight="1" x14ac:dyDescent="0.25">
      <c r="A129" s="68"/>
      <c r="F129" s="68"/>
      <c r="H129" s="2"/>
      <c r="I129" s="2"/>
      <c r="J129" s="72"/>
      <c r="K129" s="59"/>
      <c r="M129" s="68"/>
      <c r="O129" s="2"/>
      <c r="P129" s="2"/>
      <c r="Q129" s="2"/>
      <c r="R129" s="59"/>
      <c r="S129" s="2"/>
    </row>
    <row r="130" spans="1:19" s="1" customFormat="1" ht="20.100000000000001" customHeight="1" x14ac:dyDescent="0.25">
      <c r="A130" s="68"/>
      <c r="F130" s="68"/>
      <c r="H130" s="2"/>
      <c r="I130" s="2"/>
      <c r="J130" s="72"/>
      <c r="K130" s="59"/>
      <c r="M130" s="68"/>
      <c r="O130" s="2"/>
      <c r="P130" s="2"/>
      <c r="Q130" s="2"/>
      <c r="R130" s="59"/>
      <c r="S130" s="2"/>
    </row>
    <row r="131" spans="1:19" s="1" customFormat="1" ht="20.100000000000001" customHeight="1" x14ac:dyDescent="0.25">
      <c r="A131" s="68"/>
      <c r="F131" s="68"/>
      <c r="H131" s="2"/>
      <c r="I131" s="2"/>
      <c r="J131" s="72"/>
      <c r="K131" s="59"/>
      <c r="M131" s="68"/>
      <c r="O131" s="2"/>
      <c r="P131" s="2"/>
      <c r="Q131" s="2"/>
      <c r="R131" s="59"/>
      <c r="S131" s="2"/>
    </row>
    <row r="132" spans="1:19" s="1" customFormat="1" ht="20.100000000000001" customHeight="1" x14ac:dyDescent="0.25">
      <c r="A132" s="68"/>
      <c r="F132" s="68"/>
      <c r="H132" s="2"/>
      <c r="I132" s="2"/>
      <c r="J132" s="72"/>
      <c r="K132" s="59"/>
      <c r="M132" s="68"/>
      <c r="O132" s="2"/>
      <c r="P132" s="2"/>
      <c r="Q132" s="2"/>
      <c r="R132" s="59"/>
      <c r="S132" s="2"/>
    </row>
    <row r="133" spans="1:19" s="1" customFormat="1" ht="20.100000000000001" customHeight="1" x14ac:dyDescent="0.25">
      <c r="A133" s="68"/>
      <c r="F133" s="68"/>
      <c r="H133" s="2"/>
      <c r="I133" s="2"/>
      <c r="J133" s="72"/>
      <c r="K133" s="59"/>
      <c r="M133" s="68"/>
      <c r="O133" s="2"/>
      <c r="P133" s="2"/>
      <c r="Q133" s="2"/>
      <c r="R133" s="59"/>
      <c r="S133" s="2"/>
    </row>
    <row r="134" spans="1:19" s="1" customFormat="1" ht="20.100000000000001" customHeight="1" x14ac:dyDescent="0.25">
      <c r="A134" s="68"/>
      <c r="F134" s="68"/>
      <c r="H134" s="2"/>
      <c r="I134" s="2"/>
      <c r="J134" s="72"/>
      <c r="K134" s="59"/>
      <c r="M134" s="68"/>
      <c r="O134" s="2"/>
      <c r="P134" s="2"/>
      <c r="Q134" s="2"/>
      <c r="R134" s="59"/>
      <c r="S134" s="2"/>
    </row>
    <row r="135" spans="1:19" s="1" customFormat="1" ht="20.100000000000001" customHeight="1" x14ac:dyDescent="0.25">
      <c r="A135" s="68"/>
      <c r="F135" s="68"/>
      <c r="H135" s="2"/>
      <c r="I135" s="2"/>
      <c r="J135" s="72"/>
      <c r="K135" s="59"/>
      <c r="M135" s="68"/>
      <c r="O135" s="2"/>
      <c r="P135" s="2"/>
      <c r="Q135" s="2"/>
      <c r="R135" s="59"/>
      <c r="S135" s="2"/>
    </row>
    <row r="136" spans="1:19" s="1" customFormat="1" ht="20.100000000000001" customHeight="1" x14ac:dyDescent="0.25">
      <c r="A136" s="68"/>
      <c r="F136" s="68"/>
      <c r="H136" s="2"/>
      <c r="I136" s="2"/>
      <c r="J136" s="72"/>
      <c r="K136" s="59"/>
      <c r="M136" s="68"/>
      <c r="O136" s="2"/>
      <c r="P136" s="2"/>
      <c r="Q136" s="2"/>
      <c r="R136" s="59"/>
      <c r="S136" s="2"/>
    </row>
    <row r="137" spans="1:19" s="1" customFormat="1" ht="20.100000000000001" customHeight="1" x14ac:dyDescent="0.25">
      <c r="A137" s="68"/>
      <c r="F137" s="68"/>
      <c r="H137" s="2"/>
      <c r="I137" s="2"/>
      <c r="J137" s="72"/>
      <c r="K137" s="59"/>
      <c r="M137" s="68"/>
      <c r="O137" s="2"/>
      <c r="P137" s="2"/>
      <c r="Q137" s="2"/>
      <c r="R137" s="59"/>
      <c r="S137" s="2"/>
    </row>
    <row r="138" spans="1:19" s="1" customFormat="1" ht="20.100000000000001" customHeight="1" x14ac:dyDescent="0.25">
      <c r="A138" s="68"/>
      <c r="F138" s="68"/>
      <c r="H138" s="2"/>
      <c r="I138" s="2"/>
      <c r="J138" s="72"/>
      <c r="K138" s="59"/>
      <c r="M138" s="68"/>
      <c r="O138" s="2"/>
      <c r="P138" s="2"/>
      <c r="Q138" s="2"/>
      <c r="R138" s="59"/>
      <c r="S138" s="2"/>
    </row>
    <row r="139" spans="1:19" s="1" customFormat="1" ht="20.100000000000001" customHeight="1" x14ac:dyDescent="0.25">
      <c r="A139" s="68"/>
      <c r="F139" s="68"/>
      <c r="H139" s="2"/>
      <c r="I139" s="2"/>
      <c r="J139" s="72"/>
      <c r="K139" s="59"/>
      <c r="M139" s="68"/>
      <c r="O139" s="2"/>
      <c r="P139" s="2"/>
      <c r="Q139" s="2"/>
      <c r="R139" s="59"/>
      <c r="S139" s="2"/>
    </row>
    <row r="140" spans="1:19" s="1" customFormat="1" ht="20.100000000000001" customHeight="1" x14ac:dyDescent="0.25">
      <c r="A140" s="68"/>
      <c r="F140" s="68"/>
      <c r="H140" s="2"/>
      <c r="I140" s="2"/>
      <c r="J140" s="72"/>
      <c r="K140" s="59"/>
      <c r="M140" s="68"/>
      <c r="O140" s="2"/>
      <c r="P140" s="2"/>
      <c r="Q140" s="2"/>
      <c r="R140" s="59"/>
      <c r="S140" s="2"/>
    </row>
    <row r="141" spans="1:19" s="1" customFormat="1" ht="20.100000000000001" customHeight="1" x14ac:dyDescent="0.25">
      <c r="A141" s="68"/>
      <c r="F141" s="68"/>
      <c r="H141" s="2"/>
      <c r="I141" s="2"/>
      <c r="J141" s="72"/>
      <c r="K141" s="59"/>
      <c r="M141" s="68"/>
      <c r="O141" s="2"/>
      <c r="P141" s="2"/>
      <c r="Q141" s="2"/>
      <c r="R141" s="59"/>
      <c r="S141" s="2"/>
    </row>
    <row r="142" spans="1:19" s="1" customFormat="1" ht="20.100000000000001" customHeight="1" x14ac:dyDescent="0.25">
      <c r="A142" s="68"/>
      <c r="F142" s="68"/>
      <c r="H142" s="2"/>
      <c r="I142" s="2"/>
      <c r="J142" s="72"/>
      <c r="K142" s="59"/>
      <c r="M142" s="68"/>
      <c r="O142" s="2"/>
      <c r="P142" s="2"/>
      <c r="Q142" s="2"/>
      <c r="R142" s="59"/>
      <c r="S142" s="2"/>
    </row>
    <row r="143" spans="1:19" s="1" customFormat="1" ht="20.100000000000001" customHeight="1" x14ac:dyDescent="0.25">
      <c r="A143" s="68"/>
      <c r="F143" s="68"/>
      <c r="H143" s="2"/>
      <c r="I143" s="2"/>
      <c r="J143" s="72"/>
      <c r="K143" s="59"/>
      <c r="M143" s="68"/>
      <c r="O143" s="2"/>
      <c r="P143" s="2"/>
      <c r="Q143" s="2"/>
      <c r="R143" s="59"/>
      <c r="S143" s="2"/>
    </row>
    <row r="144" spans="1:19" s="1" customFormat="1" ht="20.100000000000001" customHeight="1" x14ac:dyDescent="0.25">
      <c r="A144" s="68"/>
      <c r="F144" s="68"/>
      <c r="H144" s="2"/>
      <c r="I144" s="2"/>
      <c r="J144" s="72"/>
      <c r="K144" s="59"/>
      <c r="M144" s="68"/>
      <c r="O144" s="2"/>
      <c r="P144" s="2"/>
      <c r="Q144" s="2"/>
      <c r="R144" s="59"/>
      <c r="S144" s="2"/>
    </row>
    <row r="145" spans="1:19" s="1" customFormat="1" ht="20.100000000000001" customHeight="1" x14ac:dyDescent="0.25">
      <c r="A145" s="68"/>
      <c r="F145" s="68"/>
      <c r="H145" s="2"/>
      <c r="I145" s="2"/>
      <c r="J145" s="72"/>
      <c r="K145" s="59"/>
      <c r="M145" s="68"/>
      <c r="O145" s="2"/>
      <c r="P145" s="2"/>
      <c r="Q145" s="2"/>
      <c r="R145" s="59"/>
      <c r="S145" s="2"/>
    </row>
    <row r="146" spans="1:19" s="1" customFormat="1" ht="20.100000000000001" customHeight="1" x14ac:dyDescent="0.25">
      <c r="A146" s="68"/>
      <c r="F146" s="68"/>
      <c r="H146" s="2"/>
      <c r="I146" s="2"/>
      <c r="J146" s="72"/>
      <c r="K146" s="59"/>
      <c r="M146" s="68"/>
      <c r="O146" s="2"/>
      <c r="P146" s="2"/>
      <c r="Q146" s="2"/>
      <c r="R146" s="59"/>
      <c r="S146" s="2"/>
    </row>
    <row r="147" spans="1:19" s="1" customFormat="1" ht="20.100000000000001" customHeight="1" x14ac:dyDescent="0.25">
      <c r="A147" s="68"/>
      <c r="F147" s="68"/>
      <c r="H147" s="2"/>
      <c r="I147" s="2"/>
      <c r="J147" s="72"/>
      <c r="K147" s="59"/>
      <c r="M147" s="68"/>
      <c r="O147" s="2"/>
      <c r="P147" s="2"/>
      <c r="Q147" s="2"/>
      <c r="R147" s="59"/>
      <c r="S147" s="2"/>
    </row>
    <row r="148" spans="1:19" s="1" customFormat="1" ht="20.100000000000001" customHeight="1" x14ac:dyDescent="0.25">
      <c r="A148" s="68"/>
      <c r="F148" s="68"/>
      <c r="H148" s="2"/>
      <c r="I148" s="2"/>
      <c r="J148" s="72"/>
      <c r="K148" s="59"/>
      <c r="M148" s="68"/>
      <c r="O148" s="2"/>
      <c r="P148" s="2"/>
      <c r="Q148" s="2"/>
      <c r="R148" s="59"/>
      <c r="S148" s="2"/>
    </row>
    <row r="149" spans="1:19" s="1" customFormat="1" ht="20.100000000000001" customHeight="1" x14ac:dyDescent="0.25">
      <c r="A149" s="68"/>
      <c r="F149" s="68"/>
      <c r="H149" s="2"/>
      <c r="I149" s="2"/>
      <c r="J149" s="72"/>
      <c r="K149" s="59"/>
      <c r="M149" s="68"/>
      <c r="O149" s="2"/>
      <c r="P149" s="2"/>
      <c r="Q149" s="2"/>
      <c r="R149" s="59"/>
      <c r="S149" s="2"/>
    </row>
    <row r="150" spans="1:19" s="1" customFormat="1" ht="20.100000000000001" customHeight="1" x14ac:dyDescent="0.25">
      <c r="A150" s="68"/>
      <c r="F150" s="68"/>
      <c r="H150" s="2"/>
      <c r="I150" s="2"/>
      <c r="J150" s="72"/>
      <c r="K150" s="59"/>
      <c r="M150" s="68"/>
      <c r="O150" s="2"/>
      <c r="P150" s="2"/>
      <c r="Q150" s="2"/>
      <c r="R150" s="59"/>
      <c r="S150" s="2"/>
    </row>
    <row r="151" spans="1:19" s="1" customFormat="1" ht="20.100000000000001" customHeight="1" x14ac:dyDescent="0.25">
      <c r="A151" s="68"/>
      <c r="F151" s="68"/>
      <c r="H151" s="2"/>
      <c r="I151" s="2"/>
      <c r="J151" s="72"/>
      <c r="K151" s="59"/>
      <c r="M151" s="68"/>
      <c r="O151" s="2"/>
      <c r="P151" s="2"/>
      <c r="Q151" s="2"/>
      <c r="R151" s="59"/>
      <c r="S151" s="2"/>
    </row>
    <row r="152" spans="1:19" s="1" customFormat="1" ht="20.100000000000001" customHeight="1" x14ac:dyDescent="0.25">
      <c r="A152" s="68"/>
      <c r="F152" s="68"/>
      <c r="H152" s="2"/>
      <c r="I152" s="2"/>
      <c r="J152" s="72"/>
      <c r="K152" s="59"/>
      <c r="M152" s="68"/>
      <c r="O152" s="2"/>
      <c r="P152" s="2"/>
      <c r="Q152" s="2"/>
      <c r="R152" s="59"/>
      <c r="S152" s="2"/>
    </row>
    <row r="153" spans="1:19" s="1" customFormat="1" ht="20.100000000000001" customHeight="1" x14ac:dyDescent="0.25">
      <c r="A153" s="68"/>
      <c r="F153" s="68"/>
      <c r="H153" s="2"/>
      <c r="I153" s="2"/>
      <c r="J153" s="72"/>
      <c r="K153" s="59"/>
      <c r="M153" s="68"/>
      <c r="O153" s="2"/>
      <c r="P153" s="2"/>
      <c r="Q153" s="2"/>
      <c r="R153" s="59"/>
      <c r="S153" s="2"/>
    </row>
    <row r="154" spans="1:19" s="1" customFormat="1" ht="20.100000000000001" customHeight="1" x14ac:dyDescent="0.25">
      <c r="A154" s="68"/>
      <c r="F154" s="68"/>
      <c r="H154" s="2"/>
      <c r="I154" s="2"/>
      <c r="J154" s="72"/>
      <c r="K154" s="59"/>
      <c r="M154" s="68"/>
      <c r="O154" s="2"/>
      <c r="P154" s="2"/>
      <c r="Q154" s="2"/>
      <c r="R154" s="59"/>
      <c r="S154" s="2"/>
    </row>
    <row r="155" spans="1:19" s="1" customFormat="1" ht="20.100000000000001" customHeight="1" x14ac:dyDescent="0.25">
      <c r="A155" s="68"/>
      <c r="F155" s="68"/>
      <c r="H155" s="2"/>
      <c r="I155" s="2"/>
      <c r="J155" s="72"/>
      <c r="K155" s="59"/>
      <c r="M155" s="68"/>
      <c r="O155" s="2"/>
      <c r="P155" s="2"/>
      <c r="Q155" s="2"/>
      <c r="R155" s="59"/>
      <c r="S155" s="2"/>
    </row>
    <row r="156" spans="1:19" s="1" customFormat="1" ht="20.100000000000001" customHeight="1" x14ac:dyDescent="0.25">
      <c r="A156" s="68"/>
      <c r="F156" s="68"/>
      <c r="H156" s="2"/>
      <c r="I156" s="2"/>
      <c r="J156" s="72"/>
      <c r="K156" s="59"/>
      <c r="M156" s="68"/>
      <c r="O156" s="2"/>
      <c r="P156" s="2"/>
      <c r="Q156" s="2"/>
      <c r="R156" s="59"/>
      <c r="S156" s="2"/>
    </row>
    <row r="157" spans="1:19" s="1" customFormat="1" ht="20.100000000000001" customHeight="1" x14ac:dyDescent="0.25">
      <c r="A157" s="68"/>
      <c r="F157" s="68"/>
      <c r="H157" s="2"/>
      <c r="I157" s="2"/>
      <c r="J157" s="72"/>
      <c r="K157" s="59"/>
      <c r="M157" s="68"/>
      <c r="O157" s="2"/>
      <c r="P157" s="2"/>
      <c r="Q157" s="2"/>
      <c r="R157" s="59"/>
      <c r="S157" s="2"/>
    </row>
    <row r="158" spans="1:19" s="1" customFormat="1" ht="20.100000000000001" customHeight="1" x14ac:dyDescent="0.25">
      <c r="A158" s="68"/>
      <c r="F158" s="68"/>
      <c r="H158" s="2"/>
      <c r="I158" s="2"/>
      <c r="J158" s="72"/>
      <c r="K158" s="59"/>
      <c r="M158" s="68"/>
      <c r="O158" s="2"/>
      <c r="P158" s="2"/>
      <c r="Q158" s="2"/>
      <c r="R158" s="59"/>
      <c r="S158" s="2"/>
    </row>
    <row r="159" spans="1:19" s="1" customFormat="1" ht="20.100000000000001" customHeight="1" x14ac:dyDescent="0.25">
      <c r="A159" s="68"/>
      <c r="F159" s="68"/>
      <c r="H159" s="2"/>
      <c r="I159" s="2"/>
      <c r="J159" s="72"/>
      <c r="K159" s="59"/>
      <c r="M159" s="68"/>
      <c r="O159" s="2"/>
      <c r="P159" s="2"/>
      <c r="Q159" s="2"/>
      <c r="R159" s="59"/>
      <c r="S159" s="2"/>
    </row>
    <row r="160" spans="1:19" s="1" customFormat="1" ht="20.100000000000001" customHeight="1" x14ac:dyDescent="0.25">
      <c r="A160" s="68"/>
      <c r="F160" s="68"/>
      <c r="H160" s="2"/>
      <c r="I160" s="2"/>
      <c r="J160" s="72"/>
      <c r="K160" s="59"/>
      <c r="M160" s="68"/>
      <c r="O160" s="2"/>
      <c r="P160" s="2"/>
      <c r="Q160" s="2"/>
      <c r="R160" s="59"/>
      <c r="S160" s="2"/>
    </row>
    <row r="161" spans="1:19" s="1" customFormat="1" ht="20.100000000000001" customHeight="1" x14ac:dyDescent="0.25">
      <c r="A161" s="68"/>
      <c r="F161" s="68"/>
      <c r="H161" s="2"/>
      <c r="I161" s="2"/>
      <c r="J161" s="72"/>
      <c r="K161" s="59"/>
      <c r="M161" s="68"/>
      <c r="O161" s="2"/>
      <c r="P161" s="2"/>
      <c r="Q161" s="2"/>
      <c r="R161" s="59"/>
      <c r="S161" s="2"/>
    </row>
    <row r="162" spans="1:19" s="1" customFormat="1" ht="20.100000000000001" customHeight="1" x14ac:dyDescent="0.25">
      <c r="A162" s="68"/>
      <c r="F162" s="68"/>
      <c r="H162" s="2"/>
      <c r="I162" s="2"/>
      <c r="J162" s="72"/>
      <c r="K162" s="59"/>
      <c r="M162" s="68"/>
      <c r="O162" s="2"/>
      <c r="P162" s="2"/>
      <c r="Q162" s="2"/>
      <c r="R162" s="59"/>
      <c r="S162" s="2"/>
    </row>
    <row r="163" spans="1:19" s="1" customFormat="1" ht="20.100000000000001" customHeight="1" x14ac:dyDescent="0.25">
      <c r="A163" s="68"/>
      <c r="F163" s="68"/>
      <c r="H163" s="2"/>
      <c r="I163" s="2"/>
      <c r="J163" s="72"/>
      <c r="K163" s="59"/>
      <c r="M163" s="68"/>
      <c r="O163" s="2"/>
      <c r="P163" s="2"/>
      <c r="Q163" s="2"/>
      <c r="R163" s="59"/>
      <c r="S163" s="2"/>
    </row>
    <row r="164" spans="1:19" s="1" customFormat="1" ht="20.100000000000001" customHeight="1" x14ac:dyDescent="0.25">
      <c r="A164" s="68"/>
      <c r="F164" s="68"/>
      <c r="H164" s="2"/>
      <c r="I164" s="2"/>
      <c r="J164" s="72"/>
      <c r="K164" s="59"/>
      <c r="M164" s="68"/>
      <c r="O164" s="2"/>
      <c r="P164" s="2"/>
      <c r="Q164" s="2"/>
      <c r="R164" s="59"/>
      <c r="S164" s="2"/>
    </row>
    <row r="165" spans="1:19" s="1" customFormat="1" ht="20.100000000000001" customHeight="1" x14ac:dyDescent="0.25">
      <c r="A165" s="68"/>
      <c r="F165" s="68"/>
      <c r="H165" s="2"/>
      <c r="I165" s="2"/>
      <c r="J165" s="72"/>
      <c r="K165" s="59"/>
      <c r="M165" s="68"/>
      <c r="O165" s="2"/>
      <c r="P165" s="2"/>
      <c r="Q165" s="2"/>
      <c r="R165" s="59"/>
      <c r="S165" s="2"/>
    </row>
    <row r="166" spans="1:19" s="1" customFormat="1" ht="20.100000000000001" customHeight="1" x14ac:dyDescent="0.25">
      <c r="A166" s="68"/>
      <c r="F166" s="68"/>
      <c r="H166" s="2"/>
      <c r="I166" s="2"/>
      <c r="J166" s="72"/>
      <c r="K166" s="59"/>
      <c r="M166" s="68"/>
      <c r="O166" s="2"/>
      <c r="P166" s="2"/>
      <c r="Q166" s="2"/>
      <c r="R166" s="59"/>
      <c r="S166" s="2"/>
    </row>
    <row r="167" spans="1:19" s="1" customFormat="1" ht="20.100000000000001" customHeight="1" x14ac:dyDescent="0.25">
      <c r="A167" s="68"/>
      <c r="F167" s="68"/>
      <c r="H167" s="2"/>
      <c r="I167" s="2"/>
      <c r="J167" s="72"/>
      <c r="K167" s="59"/>
      <c r="M167" s="68"/>
      <c r="O167" s="2"/>
      <c r="P167" s="2"/>
      <c r="Q167" s="2"/>
      <c r="R167" s="59"/>
      <c r="S167" s="2"/>
    </row>
    <row r="168" spans="1:19" s="1" customFormat="1" ht="20.100000000000001" customHeight="1" x14ac:dyDescent="0.25">
      <c r="A168" s="68"/>
      <c r="F168" s="68"/>
      <c r="H168" s="2"/>
      <c r="I168" s="2"/>
      <c r="J168" s="72"/>
      <c r="K168" s="59"/>
      <c r="M168" s="68"/>
      <c r="O168" s="2"/>
      <c r="P168" s="2"/>
      <c r="Q168" s="2"/>
      <c r="R168" s="59"/>
      <c r="S168" s="2"/>
    </row>
    <row r="169" spans="1:19" s="1" customFormat="1" ht="20.100000000000001" customHeight="1" x14ac:dyDescent="0.25">
      <c r="A169" s="68"/>
      <c r="F169" s="68"/>
      <c r="H169" s="2"/>
      <c r="I169" s="2"/>
      <c r="J169" s="72"/>
      <c r="K169" s="59"/>
      <c r="M169" s="68"/>
      <c r="O169" s="2"/>
      <c r="P169" s="2"/>
      <c r="Q169" s="2"/>
      <c r="R169" s="59"/>
      <c r="S169" s="2"/>
    </row>
    <row r="170" spans="1:19" s="1" customFormat="1" ht="20.100000000000001" customHeight="1" x14ac:dyDescent="0.25">
      <c r="A170" s="68"/>
      <c r="F170" s="68"/>
      <c r="H170" s="2"/>
      <c r="I170" s="2"/>
      <c r="J170" s="72"/>
      <c r="K170" s="59"/>
      <c r="M170" s="68"/>
      <c r="O170" s="2"/>
      <c r="P170" s="2"/>
      <c r="Q170" s="2"/>
      <c r="R170" s="59"/>
      <c r="S170" s="2"/>
    </row>
    <row r="171" spans="1:19" s="1" customFormat="1" ht="20.100000000000001" customHeight="1" x14ac:dyDescent="0.25">
      <c r="A171" s="68"/>
      <c r="F171" s="68"/>
      <c r="H171" s="2"/>
      <c r="I171" s="2"/>
      <c r="J171" s="72"/>
      <c r="K171" s="59"/>
      <c r="M171" s="68"/>
      <c r="O171" s="2"/>
      <c r="P171" s="2"/>
      <c r="Q171" s="2"/>
      <c r="R171" s="59"/>
      <c r="S171" s="2"/>
    </row>
    <row r="172" spans="1:19" s="1" customFormat="1" ht="20.100000000000001" customHeight="1" x14ac:dyDescent="0.25">
      <c r="A172" s="68"/>
      <c r="F172" s="68"/>
      <c r="H172" s="2"/>
      <c r="I172" s="2"/>
      <c r="J172" s="72"/>
      <c r="K172" s="59"/>
      <c r="M172" s="68"/>
      <c r="O172" s="2"/>
      <c r="P172" s="2"/>
      <c r="Q172" s="2"/>
      <c r="R172" s="59"/>
      <c r="S172" s="2"/>
    </row>
    <row r="173" spans="1:19" s="1" customFormat="1" ht="20.100000000000001" customHeight="1" x14ac:dyDescent="0.25">
      <c r="A173" s="68"/>
      <c r="F173" s="68"/>
      <c r="H173" s="2"/>
      <c r="I173" s="2"/>
      <c r="J173" s="72"/>
      <c r="K173" s="59"/>
      <c r="M173" s="68"/>
      <c r="O173" s="2"/>
      <c r="P173" s="2"/>
      <c r="Q173" s="2"/>
      <c r="R173" s="59"/>
      <c r="S173" s="2"/>
    </row>
    <row r="174" spans="1:19" s="1" customFormat="1" ht="20.100000000000001" customHeight="1" x14ac:dyDescent="0.25">
      <c r="A174" s="68"/>
      <c r="F174" s="68"/>
      <c r="H174" s="2"/>
      <c r="I174" s="2"/>
      <c r="J174" s="72"/>
      <c r="K174" s="59"/>
      <c r="M174" s="68"/>
      <c r="O174" s="2"/>
      <c r="P174" s="2"/>
      <c r="Q174" s="2"/>
      <c r="R174" s="59"/>
      <c r="S174" s="2"/>
    </row>
    <row r="175" spans="1:19" s="1" customFormat="1" ht="20.100000000000001" customHeight="1" x14ac:dyDescent="0.25">
      <c r="A175" s="68"/>
      <c r="F175" s="68"/>
      <c r="H175" s="2"/>
      <c r="I175" s="2"/>
      <c r="J175" s="72"/>
      <c r="K175" s="59"/>
      <c r="M175" s="68"/>
      <c r="O175" s="2"/>
      <c r="P175" s="2"/>
      <c r="Q175" s="2"/>
      <c r="R175" s="59"/>
      <c r="S175" s="2"/>
    </row>
    <row r="176" spans="1:19" s="1" customFormat="1" ht="20.100000000000001" customHeight="1" x14ac:dyDescent="0.25">
      <c r="A176" s="68"/>
      <c r="F176" s="68"/>
      <c r="H176" s="2"/>
      <c r="I176" s="2"/>
      <c r="J176" s="72"/>
      <c r="K176" s="59"/>
      <c r="M176" s="68"/>
      <c r="O176" s="2"/>
      <c r="P176" s="2"/>
      <c r="Q176" s="2"/>
      <c r="R176" s="59"/>
      <c r="S176" s="2"/>
    </row>
    <row r="177" spans="1:19" s="1" customFormat="1" ht="20.100000000000001" customHeight="1" x14ac:dyDescent="0.25">
      <c r="A177" s="68"/>
      <c r="F177" s="68"/>
      <c r="H177" s="2"/>
      <c r="I177" s="2"/>
      <c r="J177" s="72"/>
      <c r="K177" s="59"/>
      <c r="M177" s="68"/>
      <c r="O177" s="2"/>
      <c r="P177" s="2"/>
      <c r="Q177" s="2"/>
      <c r="R177" s="59"/>
      <c r="S177" s="2"/>
    </row>
    <row r="178" spans="1:19" s="1" customFormat="1" ht="20.100000000000001" customHeight="1" x14ac:dyDescent="0.25">
      <c r="A178" s="68"/>
      <c r="F178" s="68"/>
      <c r="H178" s="2"/>
      <c r="I178" s="2"/>
      <c r="J178" s="72"/>
      <c r="K178" s="59"/>
      <c r="M178" s="68"/>
      <c r="O178" s="2"/>
      <c r="P178" s="2"/>
      <c r="Q178" s="2"/>
      <c r="R178" s="59"/>
      <c r="S178" s="2"/>
    </row>
    <row r="179" spans="1:19" s="1" customFormat="1" ht="20.100000000000001" customHeight="1" x14ac:dyDescent="0.25">
      <c r="A179" s="68"/>
      <c r="F179" s="68"/>
      <c r="H179" s="2"/>
      <c r="I179" s="2"/>
      <c r="J179" s="72"/>
      <c r="K179" s="59"/>
      <c r="M179" s="68"/>
      <c r="O179" s="2"/>
      <c r="P179" s="2"/>
      <c r="Q179" s="2"/>
      <c r="R179" s="59"/>
      <c r="S179" s="2"/>
    </row>
    <row r="180" spans="1:19" s="1" customFormat="1" ht="20.100000000000001" customHeight="1" x14ac:dyDescent="0.25">
      <c r="A180" s="68"/>
      <c r="F180" s="68"/>
      <c r="H180" s="2"/>
      <c r="I180" s="2"/>
      <c r="J180" s="72"/>
      <c r="K180" s="59"/>
      <c r="M180" s="68"/>
      <c r="O180" s="2"/>
      <c r="P180" s="2"/>
      <c r="Q180" s="2"/>
      <c r="R180" s="59"/>
      <c r="S180" s="2"/>
    </row>
    <row r="181" spans="1:19" s="1" customFormat="1" ht="20.100000000000001" customHeight="1" x14ac:dyDescent="0.25">
      <c r="A181" s="68"/>
      <c r="F181" s="68"/>
      <c r="H181" s="2"/>
      <c r="I181" s="2"/>
      <c r="J181" s="72"/>
      <c r="K181" s="59"/>
      <c r="M181" s="68"/>
      <c r="O181" s="2"/>
      <c r="P181" s="2"/>
      <c r="Q181" s="2"/>
      <c r="R181" s="59"/>
      <c r="S181" s="2"/>
    </row>
    <row r="182" spans="1:19" s="1" customFormat="1" ht="20.100000000000001" customHeight="1" x14ac:dyDescent="0.25">
      <c r="A182" s="68"/>
      <c r="F182" s="68"/>
      <c r="H182" s="2"/>
      <c r="I182" s="2"/>
      <c r="J182" s="72"/>
      <c r="K182" s="59"/>
      <c r="M182" s="68"/>
      <c r="O182" s="2"/>
      <c r="P182" s="2"/>
      <c r="Q182" s="2"/>
      <c r="R182" s="59"/>
      <c r="S182" s="2"/>
    </row>
    <row r="183" spans="1:19" s="1" customFormat="1" ht="20.100000000000001" customHeight="1" x14ac:dyDescent="0.25">
      <c r="A183" s="68"/>
      <c r="F183" s="68"/>
      <c r="H183" s="2"/>
      <c r="I183" s="2"/>
      <c r="J183" s="72"/>
      <c r="K183" s="59"/>
      <c r="M183" s="68"/>
      <c r="O183" s="2"/>
      <c r="P183" s="2"/>
      <c r="Q183" s="2"/>
      <c r="R183" s="59"/>
      <c r="S183" s="2"/>
    </row>
    <row r="184" spans="1:19" s="1" customFormat="1" ht="20.100000000000001" customHeight="1" x14ac:dyDescent="0.25">
      <c r="A184" s="68"/>
      <c r="F184" s="68"/>
      <c r="H184" s="2"/>
      <c r="I184" s="2"/>
      <c r="J184" s="72"/>
      <c r="K184" s="59"/>
      <c r="M184" s="68"/>
      <c r="O184" s="2"/>
      <c r="P184" s="2"/>
      <c r="Q184" s="2"/>
      <c r="R184" s="59"/>
      <c r="S184" s="2"/>
    </row>
    <row r="185" spans="1:19" s="1" customFormat="1" ht="20.100000000000001" customHeight="1" x14ac:dyDescent="0.25">
      <c r="A185" s="68"/>
      <c r="F185" s="68"/>
      <c r="H185" s="2"/>
      <c r="I185" s="2"/>
      <c r="J185" s="72"/>
      <c r="K185" s="59"/>
      <c r="M185" s="68"/>
      <c r="O185" s="2"/>
      <c r="P185" s="2"/>
      <c r="Q185" s="2"/>
      <c r="R185" s="59"/>
      <c r="S185" s="2"/>
    </row>
    <row r="186" spans="1:19" s="1" customFormat="1" ht="20.100000000000001" customHeight="1" x14ac:dyDescent="0.25">
      <c r="A186" s="68"/>
      <c r="F186" s="68"/>
      <c r="H186" s="2"/>
      <c r="I186" s="2"/>
      <c r="J186" s="72"/>
      <c r="K186" s="59"/>
      <c r="M186" s="68"/>
      <c r="O186" s="2"/>
      <c r="P186" s="2"/>
      <c r="Q186" s="2"/>
      <c r="R186" s="59"/>
      <c r="S186" s="2"/>
    </row>
    <row r="187" spans="1:19" s="1" customFormat="1" ht="20.100000000000001" customHeight="1" x14ac:dyDescent="0.25">
      <c r="A187" s="68"/>
      <c r="F187" s="68"/>
      <c r="H187" s="2"/>
      <c r="I187" s="2"/>
      <c r="J187" s="72"/>
      <c r="K187" s="59"/>
      <c r="M187" s="68"/>
      <c r="O187" s="2"/>
      <c r="P187" s="2"/>
      <c r="Q187" s="2"/>
      <c r="R187" s="59"/>
      <c r="S187" s="2"/>
    </row>
    <row r="188" spans="1:19" s="1" customFormat="1" ht="20.100000000000001" customHeight="1" x14ac:dyDescent="0.25">
      <c r="A188" s="68"/>
      <c r="F188" s="68"/>
      <c r="H188" s="2"/>
      <c r="I188" s="2"/>
      <c r="J188" s="72"/>
      <c r="K188" s="59"/>
      <c r="M188" s="68"/>
      <c r="O188" s="2"/>
      <c r="P188" s="2"/>
      <c r="Q188" s="2"/>
      <c r="R188" s="59"/>
      <c r="S188" s="2"/>
    </row>
    <row r="189" spans="1:19" s="1" customFormat="1" ht="20.100000000000001" customHeight="1" x14ac:dyDescent="0.25">
      <c r="A189" s="68"/>
      <c r="F189" s="68"/>
      <c r="H189" s="2"/>
      <c r="I189" s="2"/>
      <c r="J189" s="72"/>
      <c r="K189" s="59"/>
      <c r="M189" s="68"/>
      <c r="O189" s="2"/>
      <c r="P189" s="2"/>
      <c r="Q189" s="2"/>
      <c r="R189" s="59"/>
      <c r="S189" s="2"/>
    </row>
    <row r="190" spans="1:19" s="1" customFormat="1" ht="20.100000000000001" customHeight="1" x14ac:dyDescent="0.25">
      <c r="A190" s="68"/>
      <c r="F190" s="68"/>
      <c r="H190" s="2"/>
      <c r="I190" s="2"/>
      <c r="J190" s="72"/>
      <c r="K190" s="59"/>
      <c r="M190" s="68"/>
      <c r="O190" s="2"/>
      <c r="P190" s="2"/>
      <c r="Q190" s="2"/>
      <c r="R190" s="59"/>
      <c r="S190" s="2"/>
    </row>
    <row r="191" spans="1:19" s="1" customFormat="1" ht="20.100000000000001" customHeight="1" x14ac:dyDescent="0.25">
      <c r="A191" s="68"/>
      <c r="F191" s="68"/>
      <c r="H191" s="2"/>
      <c r="I191" s="2"/>
      <c r="J191" s="72"/>
      <c r="K191" s="59"/>
      <c r="M191" s="68"/>
      <c r="O191" s="2"/>
      <c r="P191" s="2"/>
      <c r="Q191" s="2"/>
      <c r="R191" s="59"/>
      <c r="S191" s="2"/>
    </row>
    <row r="192" spans="1:19" s="1" customFormat="1" ht="20.100000000000001" customHeight="1" x14ac:dyDescent="0.25">
      <c r="A192" s="68"/>
      <c r="F192" s="68"/>
      <c r="H192" s="2"/>
      <c r="I192" s="2"/>
      <c r="J192" s="72"/>
      <c r="K192" s="59"/>
      <c r="M192" s="68"/>
      <c r="O192" s="2"/>
      <c r="P192" s="2"/>
      <c r="Q192" s="2"/>
      <c r="R192" s="59"/>
      <c r="S192" s="2"/>
    </row>
    <row r="193" spans="1:19" s="1" customFormat="1" ht="20.100000000000001" customHeight="1" x14ac:dyDescent="0.25">
      <c r="A193" s="68"/>
      <c r="F193" s="68"/>
      <c r="H193" s="2"/>
      <c r="I193" s="2"/>
      <c r="J193" s="72"/>
      <c r="K193" s="59"/>
      <c r="M193" s="68"/>
      <c r="O193" s="2"/>
      <c r="P193" s="2"/>
      <c r="Q193" s="2"/>
      <c r="R193" s="59"/>
      <c r="S193" s="2"/>
    </row>
    <row r="194" spans="1:19" s="1" customFormat="1" ht="20.100000000000001" customHeight="1" x14ac:dyDescent="0.25">
      <c r="A194" s="68"/>
      <c r="F194" s="68"/>
      <c r="H194" s="2"/>
      <c r="I194" s="2"/>
      <c r="J194" s="72"/>
      <c r="K194" s="59"/>
      <c r="M194" s="68"/>
      <c r="O194" s="2"/>
      <c r="P194" s="2"/>
      <c r="Q194" s="2"/>
      <c r="R194" s="59"/>
      <c r="S194" s="2"/>
    </row>
    <row r="195" spans="1:19" s="1" customFormat="1" ht="20.100000000000001" customHeight="1" x14ac:dyDescent="0.25">
      <c r="A195" s="68"/>
      <c r="F195" s="68"/>
      <c r="H195" s="2"/>
      <c r="I195" s="2"/>
      <c r="J195" s="72"/>
      <c r="K195" s="59"/>
      <c r="M195" s="68"/>
      <c r="O195" s="2"/>
      <c r="P195" s="2"/>
      <c r="Q195" s="2"/>
      <c r="R195" s="59"/>
      <c r="S195" s="2"/>
    </row>
    <row r="196" spans="1:19" s="1" customFormat="1" ht="20.100000000000001" customHeight="1" x14ac:dyDescent="0.25">
      <c r="A196" s="68"/>
      <c r="F196" s="68"/>
      <c r="H196" s="2"/>
      <c r="I196" s="2"/>
      <c r="J196" s="72"/>
      <c r="K196" s="59"/>
      <c r="M196" s="68"/>
      <c r="O196" s="2"/>
      <c r="P196" s="2"/>
      <c r="Q196" s="2"/>
      <c r="R196" s="59"/>
      <c r="S196" s="2"/>
    </row>
    <row r="197" spans="1:19" s="1" customFormat="1" ht="20.100000000000001" customHeight="1" x14ac:dyDescent="0.25">
      <c r="A197" s="68"/>
      <c r="F197" s="68"/>
      <c r="H197" s="2"/>
      <c r="I197" s="2"/>
      <c r="J197" s="72"/>
      <c r="K197" s="59"/>
      <c r="M197" s="68"/>
      <c r="O197" s="2"/>
      <c r="P197" s="2"/>
      <c r="Q197" s="2"/>
      <c r="R197" s="59"/>
      <c r="S197" s="2"/>
    </row>
    <row r="198" spans="1:19" s="1" customFormat="1" ht="20.100000000000001" customHeight="1" x14ac:dyDescent="0.25">
      <c r="A198" s="68"/>
      <c r="F198" s="68"/>
      <c r="H198" s="2"/>
      <c r="I198" s="2"/>
      <c r="J198" s="72"/>
      <c r="K198" s="59"/>
      <c r="M198" s="68"/>
      <c r="O198" s="2"/>
      <c r="P198" s="2"/>
      <c r="Q198" s="2"/>
      <c r="R198" s="59"/>
      <c r="S198" s="2"/>
    </row>
    <row r="199" spans="1:19" s="1" customFormat="1" ht="20.100000000000001" customHeight="1" x14ac:dyDescent="0.25">
      <c r="A199" s="68"/>
      <c r="F199" s="68"/>
      <c r="H199" s="2"/>
      <c r="I199" s="2"/>
      <c r="J199" s="72"/>
      <c r="K199" s="59"/>
      <c r="M199" s="68"/>
      <c r="O199" s="2"/>
      <c r="P199" s="2"/>
      <c r="Q199" s="2"/>
      <c r="R199" s="59"/>
      <c r="S199" s="2"/>
    </row>
    <row r="200" spans="1:19" s="1" customFormat="1" ht="20.100000000000001" customHeight="1" x14ac:dyDescent="0.25">
      <c r="A200" s="68"/>
      <c r="F200" s="68"/>
      <c r="H200" s="2"/>
      <c r="I200" s="2"/>
      <c r="J200" s="72"/>
      <c r="K200" s="59"/>
      <c r="M200" s="68"/>
      <c r="O200" s="2"/>
      <c r="P200" s="2"/>
      <c r="Q200" s="2"/>
      <c r="R200" s="59"/>
      <c r="S200" s="2"/>
    </row>
    <row r="201" spans="1:19" s="1" customFormat="1" ht="20.100000000000001" customHeight="1" x14ac:dyDescent="0.25">
      <c r="A201" s="68"/>
      <c r="F201" s="68"/>
      <c r="H201" s="2"/>
      <c r="I201" s="2"/>
      <c r="J201" s="72"/>
      <c r="K201" s="59"/>
      <c r="M201" s="68"/>
      <c r="O201" s="2"/>
      <c r="P201" s="2"/>
      <c r="Q201" s="2"/>
      <c r="R201" s="59"/>
      <c r="S201" s="2"/>
    </row>
    <row r="202" spans="1:19" s="1" customFormat="1" ht="20.100000000000001" customHeight="1" x14ac:dyDescent="0.25">
      <c r="A202" s="68"/>
      <c r="F202" s="68"/>
      <c r="H202" s="2"/>
      <c r="I202" s="2"/>
      <c r="J202" s="72"/>
      <c r="K202" s="59"/>
      <c r="M202" s="68"/>
      <c r="O202" s="2"/>
      <c r="P202" s="2"/>
      <c r="Q202" s="2"/>
      <c r="R202" s="59"/>
      <c r="S202" s="2"/>
    </row>
    <row r="203" spans="1:19" s="1" customFormat="1" ht="20.100000000000001" customHeight="1" x14ac:dyDescent="0.25">
      <c r="A203" s="68"/>
      <c r="F203" s="68"/>
      <c r="H203" s="2"/>
      <c r="I203" s="2"/>
      <c r="J203" s="72"/>
      <c r="K203" s="59"/>
      <c r="M203" s="68"/>
      <c r="O203" s="2"/>
      <c r="P203" s="2"/>
      <c r="Q203" s="2"/>
      <c r="R203" s="59"/>
      <c r="S203" s="2"/>
    </row>
    <row r="204" spans="1:19" s="1" customFormat="1" ht="20.100000000000001" customHeight="1" x14ac:dyDescent="0.25">
      <c r="A204" s="68"/>
      <c r="F204" s="68"/>
      <c r="H204" s="2"/>
      <c r="I204" s="2"/>
      <c r="J204" s="72"/>
      <c r="K204" s="59"/>
      <c r="M204" s="68"/>
      <c r="O204" s="2"/>
      <c r="P204" s="2"/>
      <c r="Q204" s="2"/>
      <c r="R204" s="59"/>
      <c r="S204" s="2"/>
    </row>
    <row r="205" spans="1:19" s="1" customFormat="1" ht="20.100000000000001" customHeight="1" x14ac:dyDescent="0.25">
      <c r="A205" s="68"/>
      <c r="F205" s="68"/>
      <c r="H205" s="2"/>
      <c r="I205" s="2"/>
      <c r="J205" s="72"/>
      <c r="K205" s="59"/>
      <c r="M205" s="68"/>
      <c r="O205" s="2"/>
      <c r="P205" s="2"/>
      <c r="Q205" s="2"/>
      <c r="R205" s="59"/>
      <c r="S205" s="2"/>
    </row>
    <row r="206" spans="1:19" s="1" customFormat="1" ht="20.100000000000001" customHeight="1" x14ac:dyDescent="0.25">
      <c r="A206" s="68"/>
      <c r="F206" s="68"/>
      <c r="H206" s="2"/>
      <c r="I206" s="2"/>
      <c r="J206" s="72"/>
      <c r="K206" s="59"/>
      <c r="M206" s="68"/>
      <c r="O206" s="2"/>
      <c r="P206" s="2"/>
      <c r="Q206" s="2"/>
      <c r="R206" s="59"/>
      <c r="S206" s="2"/>
    </row>
    <row r="207" spans="1:19" s="1" customFormat="1" ht="20.100000000000001" customHeight="1" x14ac:dyDescent="0.25">
      <c r="A207" s="68"/>
      <c r="F207" s="68"/>
      <c r="H207" s="2"/>
      <c r="I207" s="2"/>
      <c r="J207" s="72"/>
      <c r="K207" s="59"/>
      <c r="M207" s="68"/>
      <c r="O207" s="2"/>
      <c r="P207" s="2"/>
      <c r="Q207" s="2"/>
      <c r="R207" s="59"/>
      <c r="S207" s="2"/>
    </row>
    <row r="208" spans="1:19" s="1" customFormat="1" ht="20.100000000000001" customHeight="1" x14ac:dyDescent="0.25">
      <c r="A208" s="68"/>
      <c r="F208" s="68"/>
      <c r="H208" s="2"/>
      <c r="I208" s="2"/>
      <c r="J208" s="72"/>
      <c r="K208" s="59"/>
      <c r="M208" s="68"/>
      <c r="O208" s="2"/>
      <c r="P208" s="2"/>
      <c r="Q208" s="2"/>
      <c r="R208" s="59"/>
      <c r="S208" s="2"/>
    </row>
    <row r="209" spans="1:19" s="1" customFormat="1" ht="20.100000000000001" customHeight="1" x14ac:dyDescent="0.25">
      <c r="A209" s="68"/>
      <c r="F209" s="68"/>
      <c r="H209" s="2"/>
      <c r="I209" s="2"/>
      <c r="J209" s="72"/>
      <c r="K209" s="59"/>
      <c r="M209" s="68"/>
      <c r="O209" s="2"/>
      <c r="P209" s="2"/>
      <c r="Q209" s="2"/>
      <c r="R209" s="59"/>
      <c r="S209" s="2"/>
    </row>
    <row r="210" spans="1:19" s="1" customFormat="1" ht="20.100000000000001" customHeight="1" x14ac:dyDescent="0.25">
      <c r="A210" s="68"/>
      <c r="F210" s="68"/>
      <c r="H210" s="2"/>
      <c r="I210" s="2"/>
      <c r="J210" s="72"/>
      <c r="K210" s="59"/>
      <c r="M210" s="68"/>
      <c r="O210" s="2"/>
      <c r="P210" s="2"/>
      <c r="Q210" s="2"/>
      <c r="R210" s="59"/>
      <c r="S210" s="2"/>
    </row>
    <row r="211" spans="1:19" s="1" customFormat="1" ht="20.100000000000001" customHeight="1" x14ac:dyDescent="0.25">
      <c r="A211" s="68"/>
      <c r="F211" s="68"/>
      <c r="H211" s="2"/>
      <c r="I211" s="2"/>
      <c r="J211" s="72"/>
      <c r="K211" s="59"/>
      <c r="M211" s="68"/>
      <c r="O211" s="2"/>
      <c r="P211" s="2"/>
      <c r="Q211" s="2"/>
      <c r="R211" s="59"/>
      <c r="S211" s="2"/>
    </row>
    <row r="212" spans="1:19" s="1" customFormat="1" ht="20.100000000000001" customHeight="1" x14ac:dyDescent="0.25">
      <c r="A212" s="68"/>
      <c r="F212" s="68"/>
      <c r="H212" s="2"/>
      <c r="I212" s="2"/>
      <c r="J212" s="72"/>
      <c r="K212" s="59"/>
      <c r="M212" s="68"/>
      <c r="O212" s="2"/>
      <c r="P212" s="2"/>
      <c r="Q212" s="2"/>
      <c r="R212" s="59"/>
      <c r="S212" s="2"/>
    </row>
    <row r="213" spans="1:19" s="1" customFormat="1" ht="20.100000000000001" customHeight="1" x14ac:dyDescent="0.25">
      <c r="A213" s="68"/>
      <c r="F213" s="68"/>
      <c r="H213" s="2"/>
      <c r="I213" s="2"/>
      <c r="J213" s="72"/>
      <c r="K213" s="59"/>
      <c r="M213" s="68"/>
      <c r="O213" s="2"/>
      <c r="P213" s="2"/>
      <c r="Q213" s="2"/>
      <c r="R213" s="59"/>
      <c r="S213" s="2"/>
    </row>
    <row r="214" spans="1:19" s="1" customFormat="1" ht="20.100000000000001" customHeight="1" x14ac:dyDescent="0.25">
      <c r="A214" s="68"/>
      <c r="F214" s="68"/>
      <c r="H214" s="2"/>
      <c r="I214" s="2"/>
      <c r="J214" s="72"/>
      <c r="K214" s="59"/>
      <c r="M214" s="68"/>
      <c r="O214" s="2"/>
      <c r="P214" s="2"/>
      <c r="Q214" s="2"/>
      <c r="R214" s="59"/>
      <c r="S214" s="2"/>
    </row>
    <row r="215" spans="1:19" s="1" customFormat="1" ht="20.100000000000001" customHeight="1" x14ac:dyDescent="0.25">
      <c r="A215" s="68"/>
      <c r="F215" s="68"/>
      <c r="H215" s="2"/>
      <c r="I215" s="2"/>
      <c r="J215" s="72"/>
      <c r="K215" s="59"/>
      <c r="M215" s="68"/>
      <c r="O215" s="2"/>
      <c r="P215" s="2"/>
      <c r="Q215" s="2"/>
      <c r="R215" s="59"/>
      <c r="S215" s="2"/>
    </row>
    <row r="216" spans="1:19" s="1" customFormat="1" ht="20.100000000000001" customHeight="1" x14ac:dyDescent="0.25">
      <c r="A216" s="68"/>
      <c r="F216" s="68"/>
      <c r="H216" s="2"/>
      <c r="I216" s="2"/>
      <c r="J216" s="72"/>
      <c r="K216" s="59"/>
      <c r="M216" s="68"/>
      <c r="O216" s="2"/>
      <c r="P216" s="2"/>
      <c r="Q216" s="2"/>
      <c r="R216" s="59"/>
      <c r="S216" s="2"/>
    </row>
    <row r="217" spans="1:19" s="1" customFormat="1" ht="20.100000000000001" customHeight="1" x14ac:dyDescent="0.25">
      <c r="A217" s="68"/>
      <c r="F217" s="68"/>
      <c r="H217" s="2"/>
      <c r="I217" s="2"/>
      <c r="J217" s="72"/>
      <c r="K217" s="59"/>
      <c r="M217" s="68"/>
      <c r="O217" s="2"/>
      <c r="P217" s="2"/>
      <c r="Q217" s="2"/>
      <c r="R217" s="59"/>
      <c r="S217" s="2"/>
    </row>
    <row r="218" spans="1:19" s="1" customFormat="1" ht="20.100000000000001" customHeight="1" x14ac:dyDescent="0.25">
      <c r="A218" s="68"/>
      <c r="F218" s="68"/>
      <c r="H218" s="2"/>
      <c r="I218" s="2"/>
      <c r="J218" s="72"/>
      <c r="K218" s="59"/>
      <c r="M218" s="68"/>
      <c r="O218" s="2"/>
      <c r="P218" s="2"/>
      <c r="Q218" s="2"/>
      <c r="R218" s="59"/>
      <c r="S218" s="2"/>
    </row>
    <row r="219" spans="1:19" s="1" customFormat="1" ht="20.100000000000001" customHeight="1" x14ac:dyDescent="0.25">
      <c r="A219" s="68"/>
      <c r="F219" s="68"/>
      <c r="H219" s="2"/>
      <c r="I219" s="2"/>
      <c r="J219" s="72"/>
      <c r="K219" s="59"/>
      <c r="M219" s="68"/>
      <c r="O219" s="2"/>
      <c r="P219" s="2"/>
      <c r="Q219" s="2"/>
      <c r="R219" s="59"/>
      <c r="S219" s="2"/>
    </row>
    <row r="220" spans="1:19" s="1" customFormat="1" ht="20.100000000000001" customHeight="1" x14ac:dyDescent="0.25">
      <c r="A220" s="68"/>
      <c r="F220" s="68"/>
      <c r="H220" s="2"/>
      <c r="I220" s="2"/>
      <c r="J220" s="72"/>
      <c r="K220" s="59"/>
      <c r="M220" s="68"/>
      <c r="O220" s="2"/>
      <c r="P220" s="2"/>
      <c r="Q220" s="2"/>
      <c r="R220" s="59"/>
      <c r="S220" s="2"/>
    </row>
    <row r="221" spans="1:19" s="1" customFormat="1" ht="20.100000000000001" customHeight="1" x14ac:dyDescent="0.25">
      <c r="A221" s="68"/>
      <c r="F221" s="68"/>
      <c r="H221" s="2"/>
      <c r="I221" s="2"/>
      <c r="J221" s="72"/>
      <c r="K221" s="59"/>
      <c r="M221" s="68"/>
      <c r="O221" s="2"/>
      <c r="P221" s="2"/>
      <c r="Q221" s="2"/>
      <c r="R221" s="59"/>
      <c r="S221" s="2"/>
    </row>
    <row r="222" spans="1:19" s="1" customFormat="1" ht="20.100000000000001" customHeight="1" x14ac:dyDescent="0.25">
      <c r="A222" s="68"/>
      <c r="F222" s="68"/>
      <c r="H222" s="2"/>
      <c r="I222" s="2"/>
      <c r="J222" s="72"/>
      <c r="K222" s="59"/>
      <c r="M222" s="68"/>
      <c r="O222" s="2"/>
      <c r="P222" s="2"/>
      <c r="Q222" s="2"/>
      <c r="R222" s="59"/>
      <c r="S222" s="2"/>
    </row>
    <row r="223" spans="1:19" s="1" customFormat="1" ht="20.100000000000001" customHeight="1" x14ac:dyDescent="0.25">
      <c r="A223" s="68"/>
      <c r="F223" s="68"/>
      <c r="H223" s="2"/>
      <c r="I223" s="2"/>
      <c r="J223" s="72"/>
      <c r="K223" s="59"/>
      <c r="M223" s="68"/>
      <c r="O223" s="2"/>
      <c r="P223" s="2"/>
      <c r="Q223" s="2"/>
      <c r="R223" s="59"/>
      <c r="S223" s="2"/>
    </row>
    <row r="224" spans="1:19" s="1" customFormat="1" ht="20.100000000000001" customHeight="1" x14ac:dyDescent="0.25">
      <c r="A224" s="68"/>
      <c r="F224" s="68"/>
      <c r="H224" s="2"/>
      <c r="I224" s="2"/>
      <c r="J224" s="72"/>
      <c r="K224" s="59"/>
      <c r="M224" s="68"/>
      <c r="O224" s="2"/>
      <c r="P224" s="2"/>
      <c r="Q224" s="2"/>
      <c r="R224" s="59"/>
      <c r="S224" s="2"/>
    </row>
    <row r="225" spans="1:19" s="1" customFormat="1" ht="20.100000000000001" customHeight="1" x14ac:dyDescent="0.25">
      <c r="A225" s="68"/>
      <c r="F225" s="68"/>
      <c r="H225" s="2"/>
      <c r="I225" s="2"/>
      <c r="J225" s="72"/>
      <c r="K225" s="59"/>
      <c r="M225" s="68"/>
      <c r="O225" s="2"/>
      <c r="P225" s="2"/>
      <c r="Q225" s="2"/>
      <c r="R225" s="59"/>
      <c r="S225" s="2"/>
    </row>
    <row r="226" spans="1:19" s="1" customFormat="1" ht="20.100000000000001" customHeight="1" x14ac:dyDescent="0.25">
      <c r="A226" s="68"/>
      <c r="F226" s="68"/>
      <c r="H226" s="2"/>
      <c r="I226" s="2"/>
      <c r="J226" s="72"/>
      <c r="K226" s="59"/>
      <c r="M226" s="68"/>
      <c r="O226" s="2"/>
      <c r="P226" s="2"/>
      <c r="Q226" s="2"/>
      <c r="R226" s="59"/>
      <c r="S226" s="2"/>
    </row>
    <row r="227" spans="1:19" s="1" customFormat="1" ht="20.100000000000001" customHeight="1" x14ac:dyDescent="0.25">
      <c r="A227" s="68"/>
      <c r="F227" s="68"/>
      <c r="H227" s="2"/>
      <c r="I227" s="2"/>
      <c r="J227" s="72"/>
      <c r="K227" s="59"/>
      <c r="M227" s="68"/>
      <c r="O227" s="2"/>
      <c r="P227" s="2"/>
      <c r="Q227" s="2"/>
      <c r="R227" s="59"/>
      <c r="S227" s="2"/>
    </row>
    <row r="228" spans="1:19" s="1" customFormat="1" ht="20.100000000000001" customHeight="1" x14ac:dyDescent="0.25">
      <c r="A228" s="68"/>
      <c r="F228" s="68"/>
      <c r="H228" s="2"/>
      <c r="I228" s="2"/>
      <c r="J228" s="72"/>
      <c r="K228" s="59"/>
      <c r="M228" s="68"/>
      <c r="O228" s="2"/>
      <c r="P228" s="2"/>
      <c r="Q228" s="2"/>
      <c r="R228" s="59"/>
      <c r="S228" s="2"/>
    </row>
    <row r="229" spans="1:19" s="1" customFormat="1" ht="20.100000000000001" customHeight="1" x14ac:dyDescent="0.25">
      <c r="A229" s="68"/>
      <c r="F229" s="68"/>
      <c r="H229" s="2"/>
      <c r="I229" s="2"/>
      <c r="J229" s="72"/>
      <c r="K229" s="59"/>
      <c r="M229" s="68"/>
      <c r="O229" s="2"/>
      <c r="P229" s="2"/>
      <c r="Q229" s="2"/>
      <c r="R229" s="59"/>
      <c r="S229" s="2"/>
    </row>
    <row r="230" spans="1:19" s="1" customFormat="1" ht="20.100000000000001" customHeight="1" x14ac:dyDescent="0.25">
      <c r="A230" s="68"/>
      <c r="F230" s="68"/>
      <c r="H230" s="2"/>
      <c r="I230" s="2"/>
      <c r="J230" s="72"/>
      <c r="K230" s="59"/>
      <c r="M230" s="68"/>
      <c r="O230" s="2"/>
      <c r="P230" s="2"/>
      <c r="Q230" s="2"/>
      <c r="R230" s="59"/>
      <c r="S230" s="2"/>
    </row>
    <row r="231" spans="1:19" s="1" customFormat="1" ht="20.100000000000001" customHeight="1" x14ac:dyDescent="0.25">
      <c r="A231" s="68"/>
      <c r="F231" s="68"/>
      <c r="H231" s="2"/>
      <c r="I231" s="2"/>
      <c r="J231" s="72"/>
      <c r="K231" s="59"/>
      <c r="M231" s="68"/>
      <c r="O231" s="2"/>
      <c r="P231" s="2"/>
      <c r="Q231" s="2"/>
      <c r="R231" s="59"/>
      <c r="S231" s="2"/>
    </row>
    <row r="232" spans="1:19" s="1" customFormat="1" ht="20.100000000000001" customHeight="1" x14ac:dyDescent="0.25">
      <c r="A232" s="68"/>
      <c r="F232" s="68"/>
      <c r="H232" s="2"/>
      <c r="I232" s="2"/>
      <c r="J232" s="72"/>
      <c r="K232" s="59"/>
      <c r="M232" s="68"/>
      <c r="O232" s="2"/>
      <c r="P232" s="2"/>
      <c r="Q232" s="2"/>
      <c r="R232" s="59"/>
      <c r="S232" s="2"/>
    </row>
    <row r="233" spans="1:19" s="1" customFormat="1" ht="20.100000000000001" customHeight="1" x14ac:dyDescent="0.25">
      <c r="A233" s="68"/>
      <c r="F233" s="68"/>
      <c r="H233" s="2"/>
      <c r="I233" s="2"/>
      <c r="J233" s="72"/>
      <c r="K233" s="59"/>
      <c r="M233" s="68"/>
      <c r="O233" s="2"/>
      <c r="P233" s="2"/>
      <c r="Q233" s="2"/>
      <c r="R233" s="59"/>
      <c r="S233" s="2"/>
    </row>
    <row r="234" spans="1:19" s="1" customFormat="1" ht="20.100000000000001" customHeight="1" x14ac:dyDescent="0.25">
      <c r="A234" s="68"/>
      <c r="F234" s="68"/>
      <c r="H234" s="2"/>
      <c r="I234" s="2"/>
      <c r="J234" s="72"/>
      <c r="K234" s="59"/>
      <c r="M234" s="68"/>
      <c r="O234" s="2"/>
      <c r="P234" s="2"/>
      <c r="Q234" s="2"/>
      <c r="R234" s="59"/>
      <c r="S234" s="2"/>
    </row>
    <row r="235" spans="1:19" s="1" customFormat="1" ht="20.100000000000001" customHeight="1" x14ac:dyDescent="0.25">
      <c r="A235" s="68"/>
      <c r="F235" s="68"/>
      <c r="H235" s="2"/>
      <c r="I235" s="2"/>
      <c r="J235" s="72"/>
      <c r="K235" s="59"/>
      <c r="M235" s="68"/>
      <c r="O235" s="2"/>
      <c r="P235" s="2"/>
      <c r="Q235" s="2"/>
      <c r="R235" s="59"/>
      <c r="S235" s="2"/>
    </row>
    <row r="236" spans="1:19" s="1" customFormat="1" ht="20.100000000000001" customHeight="1" x14ac:dyDescent="0.25">
      <c r="A236" s="68"/>
      <c r="F236" s="68"/>
      <c r="H236" s="2"/>
      <c r="I236" s="2"/>
      <c r="J236" s="72"/>
      <c r="K236" s="59"/>
      <c r="M236" s="68"/>
      <c r="O236" s="2"/>
      <c r="P236" s="2"/>
      <c r="Q236" s="2"/>
      <c r="R236" s="59"/>
      <c r="S236" s="2"/>
    </row>
    <row r="237" spans="1:19" s="1" customFormat="1" ht="20.100000000000001" customHeight="1" x14ac:dyDescent="0.25">
      <c r="A237" s="68"/>
      <c r="F237" s="68"/>
      <c r="H237" s="2"/>
      <c r="I237" s="2"/>
      <c r="J237" s="72"/>
      <c r="K237" s="59"/>
      <c r="M237" s="68"/>
      <c r="O237" s="2"/>
      <c r="P237" s="2"/>
      <c r="Q237" s="2"/>
      <c r="R237" s="59"/>
      <c r="S237" s="2"/>
    </row>
    <row r="238" spans="1:19" s="1" customFormat="1" ht="20.100000000000001" customHeight="1" x14ac:dyDescent="0.25">
      <c r="A238" s="68"/>
      <c r="F238" s="68"/>
      <c r="H238" s="2"/>
      <c r="I238" s="2"/>
      <c r="J238" s="72"/>
      <c r="K238" s="59"/>
      <c r="M238" s="68"/>
      <c r="O238" s="2"/>
      <c r="P238" s="2"/>
      <c r="Q238" s="2"/>
      <c r="R238" s="59"/>
      <c r="S238" s="2"/>
    </row>
    <row r="239" spans="1:19" s="1" customFormat="1" ht="20.100000000000001" customHeight="1" x14ac:dyDescent="0.25">
      <c r="A239" s="68"/>
      <c r="F239" s="68"/>
      <c r="H239" s="2"/>
      <c r="I239" s="2"/>
      <c r="J239" s="72"/>
      <c r="K239" s="59"/>
      <c r="M239" s="68"/>
      <c r="O239" s="2"/>
      <c r="P239" s="2"/>
      <c r="Q239" s="2"/>
      <c r="R239" s="59"/>
      <c r="S239" s="2"/>
    </row>
    <row r="240" spans="1:19" s="1" customFormat="1" ht="20.100000000000001" customHeight="1" x14ac:dyDescent="0.25">
      <c r="A240" s="68"/>
      <c r="F240" s="68"/>
      <c r="H240" s="2"/>
      <c r="I240" s="2"/>
      <c r="J240" s="72"/>
      <c r="K240" s="59"/>
      <c r="M240" s="68"/>
      <c r="O240" s="2"/>
      <c r="P240" s="2"/>
      <c r="Q240" s="2"/>
      <c r="R240" s="59"/>
      <c r="S240" s="2"/>
    </row>
    <row r="241" spans="1:19" s="1" customFormat="1" ht="20.100000000000001" customHeight="1" x14ac:dyDescent="0.25">
      <c r="A241" s="68"/>
      <c r="F241" s="68"/>
      <c r="H241" s="2"/>
      <c r="I241" s="2"/>
      <c r="J241" s="72"/>
      <c r="K241" s="59"/>
      <c r="M241" s="68"/>
      <c r="O241" s="2"/>
      <c r="P241" s="2"/>
      <c r="Q241" s="2"/>
      <c r="R241" s="59"/>
      <c r="S241" s="2"/>
    </row>
    <row r="242" spans="1:19" s="1" customFormat="1" ht="20.100000000000001" customHeight="1" x14ac:dyDescent="0.25">
      <c r="A242" s="68"/>
      <c r="F242" s="68"/>
      <c r="H242" s="2"/>
      <c r="I242" s="2"/>
      <c r="J242" s="72"/>
      <c r="K242" s="59"/>
      <c r="M242" s="68"/>
      <c r="O242" s="2"/>
      <c r="P242" s="2"/>
      <c r="Q242" s="2"/>
      <c r="R242" s="59"/>
      <c r="S242" s="2"/>
    </row>
    <row r="243" spans="1:19" s="1" customFormat="1" ht="20.100000000000001" customHeight="1" x14ac:dyDescent="0.25">
      <c r="A243" s="68"/>
      <c r="F243" s="68"/>
      <c r="H243" s="2"/>
      <c r="I243" s="2"/>
      <c r="J243" s="72"/>
      <c r="K243" s="59"/>
      <c r="M243" s="68"/>
      <c r="O243" s="2"/>
      <c r="P243" s="2"/>
      <c r="Q243" s="2"/>
      <c r="R243" s="59"/>
      <c r="S243" s="2"/>
    </row>
    <row r="244" spans="1:19" s="1" customFormat="1" ht="20.100000000000001" customHeight="1" x14ac:dyDescent="0.25">
      <c r="A244" s="68"/>
      <c r="F244" s="68"/>
      <c r="H244" s="2"/>
      <c r="I244" s="2"/>
      <c r="J244" s="72"/>
      <c r="K244" s="59"/>
      <c r="M244" s="68"/>
      <c r="O244" s="2"/>
      <c r="P244" s="2"/>
      <c r="Q244" s="2"/>
      <c r="R244" s="59"/>
      <c r="S244" s="2"/>
    </row>
    <row r="245" spans="1:19" s="1" customFormat="1" ht="20.100000000000001" customHeight="1" x14ac:dyDescent="0.25">
      <c r="A245" s="68"/>
      <c r="F245" s="68"/>
      <c r="H245" s="2"/>
      <c r="I245" s="2"/>
      <c r="J245" s="72"/>
      <c r="K245" s="59"/>
      <c r="M245" s="68"/>
      <c r="O245" s="2"/>
      <c r="P245" s="2"/>
      <c r="Q245" s="2"/>
      <c r="R245" s="59"/>
      <c r="S245" s="2"/>
    </row>
    <row r="246" spans="1:19" s="1" customFormat="1" ht="20.100000000000001" customHeight="1" x14ac:dyDescent="0.25">
      <c r="A246" s="68"/>
      <c r="F246" s="68"/>
      <c r="H246" s="2"/>
      <c r="I246" s="2"/>
      <c r="J246" s="72"/>
      <c r="K246" s="59"/>
      <c r="M246" s="68"/>
      <c r="O246" s="2"/>
      <c r="P246" s="2"/>
      <c r="Q246" s="2"/>
      <c r="R246" s="59"/>
      <c r="S246" s="2"/>
    </row>
    <row r="247" spans="1:19" s="1" customFormat="1" ht="20.100000000000001" customHeight="1" x14ac:dyDescent="0.25">
      <c r="A247" s="68"/>
      <c r="F247" s="68"/>
      <c r="H247" s="2"/>
      <c r="I247" s="2"/>
      <c r="J247" s="72"/>
      <c r="K247" s="59"/>
      <c r="M247" s="68"/>
      <c r="O247" s="2"/>
      <c r="P247" s="2"/>
      <c r="Q247" s="2"/>
      <c r="R247" s="59"/>
      <c r="S247" s="2"/>
    </row>
    <row r="248" spans="1:19" s="1" customFormat="1" ht="20.100000000000001" customHeight="1" x14ac:dyDescent="0.25">
      <c r="A248" s="68"/>
      <c r="F248" s="68"/>
      <c r="H248" s="2"/>
      <c r="I248" s="2"/>
      <c r="J248" s="72"/>
      <c r="K248" s="59"/>
      <c r="M248" s="68"/>
      <c r="O248" s="2"/>
      <c r="P248" s="2"/>
      <c r="Q248" s="2"/>
      <c r="R248" s="59"/>
      <c r="S248" s="2"/>
    </row>
    <row r="249" spans="1:19" s="1" customFormat="1" ht="20.100000000000001" customHeight="1" x14ac:dyDescent="0.25">
      <c r="A249" s="68"/>
      <c r="F249" s="68"/>
      <c r="H249" s="2"/>
      <c r="I249" s="2"/>
      <c r="J249" s="72"/>
      <c r="K249" s="59"/>
      <c r="M249" s="68"/>
      <c r="O249" s="2"/>
      <c r="P249" s="2"/>
      <c r="Q249" s="2"/>
      <c r="R249" s="59"/>
      <c r="S249" s="2"/>
    </row>
    <row r="250" spans="1:19" s="1" customFormat="1" ht="20.100000000000001" customHeight="1" x14ac:dyDescent="0.25">
      <c r="A250" s="68"/>
      <c r="F250" s="68"/>
      <c r="H250" s="2"/>
      <c r="I250" s="2"/>
      <c r="J250" s="72"/>
      <c r="K250" s="59"/>
      <c r="M250" s="68"/>
      <c r="O250" s="2"/>
      <c r="P250" s="2"/>
      <c r="Q250" s="2"/>
      <c r="R250" s="59"/>
      <c r="S250" s="2"/>
    </row>
    <row r="251" spans="1:19" s="1" customFormat="1" ht="20.100000000000001" customHeight="1" x14ac:dyDescent="0.25">
      <c r="A251" s="68"/>
      <c r="F251" s="68"/>
      <c r="H251" s="2"/>
      <c r="I251" s="2"/>
      <c r="J251" s="72"/>
      <c r="K251" s="59"/>
      <c r="M251" s="68"/>
      <c r="O251" s="2"/>
      <c r="P251" s="2"/>
      <c r="Q251" s="2"/>
      <c r="R251" s="59"/>
      <c r="S251" s="2"/>
    </row>
    <row r="252" spans="1:19" s="1" customFormat="1" ht="20.100000000000001" customHeight="1" x14ac:dyDescent="0.25">
      <c r="A252" s="68"/>
      <c r="F252" s="68"/>
      <c r="H252" s="2"/>
      <c r="I252" s="2"/>
      <c r="J252" s="72"/>
      <c r="K252" s="59"/>
      <c r="M252" s="68"/>
      <c r="O252" s="2"/>
      <c r="P252" s="2"/>
      <c r="Q252" s="2"/>
      <c r="R252" s="59"/>
      <c r="S252" s="2"/>
    </row>
    <row r="253" spans="1:19" s="1" customFormat="1" ht="20.100000000000001" customHeight="1" x14ac:dyDescent="0.25">
      <c r="A253" s="68"/>
      <c r="F253" s="68"/>
      <c r="H253" s="2"/>
      <c r="I253" s="2"/>
      <c r="J253" s="72"/>
      <c r="K253" s="59"/>
      <c r="M253" s="68"/>
      <c r="O253" s="2"/>
      <c r="P253" s="2"/>
      <c r="Q253" s="2"/>
      <c r="R253" s="59"/>
      <c r="S253" s="2"/>
    </row>
    <row r="254" spans="1:19" s="1" customFormat="1" ht="20.100000000000001" customHeight="1" x14ac:dyDescent="0.25">
      <c r="A254" s="68"/>
      <c r="F254" s="68"/>
      <c r="H254" s="2"/>
      <c r="I254" s="2"/>
      <c r="J254" s="72"/>
      <c r="K254" s="59"/>
      <c r="M254" s="68"/>
      <c r="O254" s="2"/>
      <c r="P254" s="2"/>
      <c r="Q254" s="2"/>
      <c r="R254" s="59"/>
      <c r="S254" s="2"/>
    </row>
    <row r="255" spans="1:19" s="1" customFormat="1" ht="20.100000000000001" customHeight="1" x14ac:dyDescent="0.25">
      <c r="A255" s="68"/>
      <c r="F255" s="68"/>
      <c r="H255" s="2"/>
      <c r="I255" s="2"/>
      <c r="J255" s="72"/>
      <c r="K255" s="59"/>
      <c r="M255" s="68"/>
      <c r="O255" s="2"/>
      <c r="P255" s="2"/>
      <c r="Q255" s="2"/>
      <c r="R255" s="59"/>
      <c r="S255" s="2"/>
    </row>
    <row r="256" spans="1:19" s="1" customFormat="1" ht="20.100000000000001" customHeight="1" x14ac:dyDescent="0.25">
      <c r="A256" s="68"/>
      <c r="F256" s="68"/>
      <c r="H256" s="2"/>
      <c r="I256" s="2"/>
      <c r="J256" s="72"/>
      <c r="K256" s="59"/>
      <c r="M256" s="68"/>
      <c r="O256" s="2"/>
      <c r="P256" s="2"/>
      <c r="Q256" s="2"/>
      <c r="R256" s="59"/>
      <c r="S256" s="2"/>
    </row>
    <row r="257" spans="1:19" s="1" customFormat="1" ht="20.100000000000001" customHeight="1" x14ac:dyDescent="0.25">
      <c r="A257" s="68"/>
      <c r="F257" s="68"/>
      <c r="H257" s="2"/>
      <c r="I257" s="2"/>
      <c r="J257" s="72"/>
      <c r="K257" s="59"/>
      <c r="M257" s="68"/>
      <c r="O257" s="2"/>
      <c r="P257" s="2"/>
      <c r="Q257" s="2"/>
      <c r="R257" s="59"/>
      <c r="S257" s="2"/>
    </row>
    <row r="258" spans="1:19" s="1" customFormat="1" ht="20.100000000000001" customHeight="1" x14ac:dyDescent="0.25">
      <c r="A258" s="68"/>
      <c r="F258" s="68"/>
      <c r="H258" s="2"/>
      <c r="I258" s="2"/>
      <c r="J258" s="72"/>
      <c r="K258" s="59"/>
      <c r="M258" s="68"/>
      <c r="O258" s="2"/>
      <c r="P258" s="2"/>
      <c r="Q258" s="2"/>
      <c r="R258" s="59"/>
      <c r="S258" s="2"/>
    </row>
    <row r="259" spans="1:19" s="1" customFormat="1" ht="20.100000000000001" customHeight="1" x14ac:dyDescent="0.25">
      <c r="A259" s="68"/>
      <c r="F259" s="68"/>
      <c r="H259" s="2"/>
      <c r="I259" s="2"/>
      <c r="J259" s="72"/>
      <c r="K259" s="59"/>
      <c r="M259" s="68"/>
      <c r="O259" s="2"/>
      <c r="P259" s="2"/>
      <c r="Q259" s="2"/>
      <c r="R259" s="59"/>
      <c r="S259" s="2"/>
    </row>
    <row r="260" spans="1:19" s="1" customFormat="1" ht="20.100000000000001" customHeight="1" x14ac:dyDescent="0.25">
      <c r="A260" s="68"/>
      <c r="F260" s="68"/>
      <c r="H260" s="2"/>
      <c r="I260" s="2"/>
      <c r="J260" s="72"/>
      <c r="K260" s="59"/>
      <c r="M260" s="68"/>
      <c r="O260" s="2"/>
      <c r="P260" s="2"/>
      <c r="Q260" s="2"/>
      <c r="R260" s="59"/>
      <c r="S260" s="2"/>
    </row>
    <row r="261" spans="1:19" s="1" customFormat="1" ht="20.100000000000001" customHeight="1" x14ac:dyDescent="0.25">
      <c r="A261" s="68"/>
      <c r="F261" s="68"/>
      <c r="H261" s="2"/>
      <c r="I261" s="2"/>
      <c r="J261" s="72"/>
      <c r="K261" s="59"/>
      <c r="M261" s="68"/>
      <c r="O261" s="2"/>
      <c r="P261" s="2"/>
      <c r="Q261" s="2"/>
      <c r="R261" s="59"/>
      <c r="S261" s="2"/>
    </row>
    <row r="262" spans="1:19" s="1" customFormat="1" ht="20.100000000000001" customHeight="1" x14ac:dyDescent="0.25">
      <c r="A262" s="68"/>
      <c r="F262" s="68"/>
      <c r="H262" s="2"/>
      <c r="I262" s="2"/>
      <c r="J262" s="72"/>
      <c r="K262" s="59"/>
      <c r="M262" s="68"/>
      <c r="O262" s="2"/>
      <c r="P262" s="2"/>
      <c r="Q262" s="2"/>
      <c r="R262" s="59"/>
      <c r="S262" s="2"/>
    </row>
    <row r="263" spans="1:19" s="1" customFormat="1" ht="20.100000000000001" customHeight="1" x14ac:dyDescent="0.25">
      <c r="A263" s="68"/>
      <c r="F263" s="68"/>
      <c r="H263" s="2"/>
      <c r="I263" s="2"/>
      <c r="J263" s="72"/>
      <c r="K263" s="59"/>
      <c r="M263" s="68"/>
      <c r="O263" s="2"/>
      <c r="P263" s="2"/>
      <c r="Q263" s="2"/>
      <c r="R263" s="59"/>
      <c r="S263" s="2"/>
    </row>
    <row r="264" spans="1:19" s="1" customFormat="1" ht="20.100000000000001" customHeight="1" x14ac:dyDescent="0.25">
      <c r="A264" s="68"/>
      <c r="F264" s="68"/>
      <c r="H264" s="2"/>
      <c r="I264" s="2"/>
      <c r="J264" s="72"/>
      <c r="K264" s="59"/>
      <c r="M264" s="68"/>
      <c r="O264" s="2"/>
      <c r="P264" s="2"/>
      <c r="Q264" s="2"/>
      <c r="R264" s="59"/>
      <c r="S264" s="2"/>
    </row>
    <row r="265" spans="1:19" s="1" customFormat="1" ht="20.100000000000001" customHeight="1" x14ac:dyDescent="0.25">
      <c r="A265" s="68"/>
      <c r="F265" s="68"/>
      <c r="H265" s="2"/>
      <c r="I265" s="2"/>
      <c r="J265" s="72"/>
      <c r="K265" s="59"/>
      <c r="M265" s="68"/>
      <c r="O265" s="2"/>
      <c r="P265" s="2"/>
      <c r="Q265" s="2"/>
      <c r="R265" s="59"/>
      <c r="S265" s="2"/>
    </row>
    <row r="266" spans="1:19" s="1" customFormat="1" ht="20.100000000000001" customHeight="1" x14ac:dyDescent="0.25">
      <c r="A266" s="68"/>
      <c r="F266" s="68"/>
      <c r="H266" s="2"/>
      <c r="I266" s="2"/>
      <c r="J266" s="72"/>
      <c r="K266" s="59"/>
      <c r="M266" s="68"/>
      <c r="O266" s="2"/>
      <c r="P266" s="2"/>
      <c r="Q266" s="2"/>
      <c r="R266" s="59"/>
      <c r="S266" s="2"/>
    </row>
    <row r="267" spans="1:19" s="1" customFormat="1" ht="20.100000000000001" customHeight="1" x14ac:dyDescent="0.25">
      <c r="A267" s="68"/>
      <c r="F267" s="68"/>
      <c r="H267" s="2"/>
      <c r="I267" s="2"/>
      <c r="J267" s="72"/>
      <c r="K267" s="59"/>
      <c r="M267" s="68"/>
      <c r="O267" s="2"/>
      <c r="P267" s="2"/>
      <c r="Q267" s="2"/>
      <c r="R267" s="59"/>
      <c r="S267" s="2"/>
    </row>
    <row r="268" spans="1:19" s="1" customFormat="1" ht="20.100000000000001" customHeight="1" x14ac:dyDescent="0.25">
      <c r="A268" s="68"/>
      <c r="F268" s="68"/>
      <c r="H268" s="2"/>
      <c r="I268" s="2"/>
      <c r="J268" s="72"/>
      <c r="K268" s="59"/>
      <c r="M268" s="68"/>
      <c r="O268" s="2"/>
      <c r="P268" s="2"/>
      <c r="Q268" s="2"/>
      <c r="R268" s="59"/>
      <c r="S268" s="2"/>
    </row>
    <row r="269" spans="1:19" s="1" customFormat="1" ht="20.100000000000001" customHeight="1" x14ac:dyDescent="0.25">
      <c r="A269" s="68"/>
      <c r="F269" s="68"/>
      <c r="H269" s="2"/>
      <c r="I269" s="2"/>
      <c r="J269" s="72"/>
      <c r="K269" s="59"/>
      <c r="M269" s="68"/>
      <c r="O269" s="2"/>
      <c r="P269" s="2"/>
      <c r="Q269" s="2"/>
      <c r="R269" s="59"/>
      <c r="S269" s="2"/>
    </row>
    <row r="270" spans="1:19" s="1" customFormat="1" ht="20.100000000000001" customHeight="1" x14ac:dyDescent="0.25">
      <c r="A270" s="68"/>
      <c r="F270" s="68"/>
      <c r="H270" s="2"/>
      <c r="I270" s="2"/>
      <c r="J270" s="72"/>
      <c r="K270" s="59"/>
      <c r="M270" s="68"/>
      <c r="O270" s="2"/>
      <c r="P270" s="2"/>
      <c r="Q270" s="2"/>
      <c r="R270" s="59"/>
      <c r="S270" s="2"/>
    </row>
    <row r="271" spans="1:19" s="1" customFormat="1" ht="20.100000000000001" customHeight="1" x14ac:dyDescent="0.25">
      <c r="A271" s="68"/>
      <c r="F271" s="68"/>
      <c r="H271" s="2"/>
      <c r="I271" s="2"/>
      <c r="J271" s="72"/>
      <c r="K271" s="59"/>
      <c r="M271" s="68"/>
      <c r="O271" s="2"/>
      <c r="P271" s="2"/>
      <c r="Q271" s="2"/>
      <c r="R271" s="59"/>
      <c r="S271" s="2"/>
    </row>
    <row r="272" spans="1:19" s="1" customFormat="1" ht="20.100000000000001" customHeight="1" x14ac:dyDescent="0.25">
      <c r="A272" s="68"/>
      <c r="F272" s="68"/>
      <c r="H272" s="2"/>
      <c r="I272" s="2"/>
      <c r="J272" s="72"/>
      <c r="K272" s="59"/>
      <c r="M272" s="68"/>
      <c r="O272" s="2"/>
      <c r="P272" s="2"/>
      <c r="Q272" s="2"/>
      <c r="R272" s="59"/>
      <c r="S272" s="2"/>
    </row>
    <row r="273" spans="1:19" s="1" customFormat="1" ht="20.100000000000001" customHeight="1" x14ac:dyDescent="0.25">
      <c r="A273" s="68"/>
      <c r="F273" s="68"/>
      <c r="H273" s="2"/>
      <c r="I273" s="2"/>
      <c r="J273" s="72"/>
      <c r="K273" s="59"/>
      <c r="M273" s="68"/>
      <c r="O273" s="2"/>
      <c r="P273" s="2"/>
      <c r="Q273" s="2"/>
      <c r="R273" s="59"/>
      <c r="S273" s="2"/>
    </row>
    <row r="274" spans="1:19" s="1" customFormat="1" ht="20.100000000000001" customHeight="1" x14ac:dyDescent="0.25">
      <c r="A274" s="68"/>
      <c r="F274" s="68"/>
      <c r="H274" s="2"/>
      <c r="I274" s="2"/>
      <c r="J274" s="72"/>
      <c r="K274" s="59"/>
      <c r="M274" s="68"/>
      <c r="O274" s="2"/>
      <c r="P274" s="2"/>
      <c r="Q274" s="2"/>
      <c r="R274" s="59"/>
      <c r="S274" s="2"/>
    </row>
    <row r="275" spans="1:19" s="1" customFormat="1" ht="20.100000000000001" customHeight="1" x14ac:dyDescent="0.25">
      <c r="A275" s="68"/>
      <c r="F275" s="68"/>
      <c r="H275" s="2"/>
      <c r="I275" s="2"/>
      <c r="J275" s="72"/>
      <c r="K275" s="59"/>
      <c r="M275" s="68"/>
      <c r="O275" s="2"/>
      <c r="P275" s="2"/>
      <c r="Q275" s="2"/>
      <c r="R275" s="59"/>
      <c r="S275" s="2"/>
    </row>
    <row r="276" spans="1:19" s="1" customFormat="1" ht="20.100000000000001" customHeight="1" x14ac:dyDescent="0.25">
      <c r="A276" s="68"/>
      <c r="F276" s="68"/>
      <c r="H276" s="2"/>
      <c r="I276" s="2"/>
      <c r="J276" s="72"/>
      <c r="K276" s="59"/>
      <c r="M276" s="68"/>
      <c r="O276" s="2"/>
      <c r="P276" s="2"/>
      <c r="Q276" s="2"/>
      <c r="R276" s="59"/>
      <c r="S276" s="2"/>
    </row>
    <row r="277" spans="1:19" s="1" customFormat="1" ht="20.100000000000001" customHeight="1" x14ac:dyDescent="0.25">
      <c r="A277" s="68"/>
      <c r="F277" s="68"/>
      <c r="H277" s="2"/>
      <c r="I277" s="2"/>
      <c r="J277" s="72"/>
      <c r="K277" s="59"/>
      <c r="M277" s="68"/>
      <c r="O277" s="2"/>
      <c r="P277" s="2"/>
      <c r="Q277" s="2"/>
      <c r="R277" s="59"/>
      <c r="S277" s="2"/>
    </row>
    <row r="278" spans="1:19" s="1" customFormat="1" ht="20.100000000000001" customHeight="1" x14ac:dyDescent="0.25">
      <c r="A278" s="68"/>
      <c r="F278" s="68"/>
      <c r="H278" s="2"/>
      <c r="I278" s="2"/>
      <c r="J278" s="72"/>
      <c r="K278" s="59"/>
      <c r="M278" s="68"/>
      <c r="O278" s="2"/>
      <c r="P278" s="2"/>
      <c r="Q278" s="2"/>
      <c r="R278" s="59"/>
      <c r="S278" s="2"/>
    </row>
    <row r="279" spans="1:19" s="1" customFormat="1" ht="20.100000000000001" customHeight="1" x14ac:dyDescent="0.25">
      <c r="A279" s="68"/>
      <c r="F279" s="68"/>
      <c r="H279" s="2"/>
      <c r="I279" s="2"/>
      <c r="J279" s="72"/>
      <c r="K279" s="59"/>
      <c r="M279" s="68"/>
      <c r="O279" s="2"/>
      <c r="P279" s="2"/>
      <c r="Q279" s="2"/>
      <c r="R279" s="59"/>
      <c r="S279" s="2"/>
    </row>
    <row r="280" spans="1:19" s="1" customFormat="1" ht="20.100000000000001" customHeight="1" x14ac:dyDescent="0.25">
      <c r="A280" s="68"/>
      <c r="F280" s="68"/>
      <c r="H280" s="2"/>
      <c r="I280" s="2"/>
      <c r="J280" s="72"/>
      <c r="K280" s="59"/>
      <c r="M280" s="68"/>
      <c r="O280" s="2"/>
      <c r="P280" s="2"/>
      <c r="Q280" s="2"/>
      <c r="R280" s="59"/>
      <c r="S280" s="2"/>
    </row>
    <row r="281" spans="1:19" s="1" customFormat="1" ht="20.100000000000001" customHeight="1" x14ac:dyDescent="0.25">
      <c r="A281" s="68"/>
      <c r="F281" s="68"/>
      <c r="H281" s="2"/>
      <c r="I281" s="2"/>
      <c r="J281" s="72"/>
      <c r="K281" s="59"/>
      <c r="M281" s="68"/>
      <c r="O281" s="2"/>
      <c r="P281" s="2"/>
      <c r="Q281" s="2"/>
      <c r="R281" s="59"/>
      <c r="S281" s="2"/>
    </row>
    <row r="282" spans="1:19" s="1" customFormat="1" ht="20.100000000000001" customHeight="1" x14ac:dyDescent="0.25">
      <c r="A282" s="68"/>
      <c r="F282" s="68"/>
      <c r="H282" s="2"/>
      <c r="I282" s="2"/>
      <c r="J282" s="72"/>
      <c r="K282" s="59"/>
      <c r="M282" s="68"/>
      <c r="O282" s="2"/>
      <c r="P282" s="2"/>
      <c r="Q282" s="2"/>
      <c r="R282" s="59"/>
      <c r="S282" s="2"/>
    </row>
    <row r="283" spans="1:19" s="1" customFormat="1" ht="20.100000000000001" customHeight="1" x14ac:dyDescent="0.25">
      <c r="A283" s="68"/>
      <c r="F283" s="68"/>
      <c r="H283" s="2"/>
      <c r="I283" s="2"/>
      <c r="J283" s="72"/>
      <c r="K283" s="59"/>
      <c r="M283" s="68"/>
      <c r="O283" s="2"/>
      <c r="P283" s="2"/>
      <c r="Q283" s="2"/>
      <c r="R283" s="59"/>
      <c r="S283" s="2"/>
    </row>
    <row r="284" spans="1:19" s="1" customFormat="1" ht="20.100000000000001" customHeight="1" x14ac:dyDescent="0.25">
      <c r="A284" s="68"/>
      <c r="F284" s="68"/>
      <c r="H284" s="2"/>
      <c r="I284" s="2"/>
      <c r="J284" s="72"/>
      <c r="K284" s="59"/>
      <c r="M284" s="68"/>
      <c r="O284" s="2"/>
      <c r="P284" s="2"/>
      <c r="Q284" s="2"/>
      <c r="R284" s="59"/>
      <c r="S284" s="2"/>
    </row>
    <row r="285" spans="1:19" s="1" customFormat="1" ht="20.100000000000001" customHeight="1" x14ac:dyDescent="0.25">
      <c r="A285" s="68"/>
      <c r="F285" s="68"/>
      <c r="H285" s="2"/>
      <c r="I285" s="2"/>
      <c r="J285" s="72"/>
      <c r="K285" s="59"/>
      <c r="M285" s="68"/>
      <c r="O285" s="2"/>
      <c r="P285" s="2"/>
      <c r="Q285" s="2"/>
      <c r="R285" s="59"/>
      <c r="S285" s="2"/>
    </row>
    <row r="286" spans="1:19" s="1" customFormat="1" ht="20.100000000000001" customHeight="1" x14ac:dyDescent="0.25">
      <c r="A286" s="68"/>
      <c r="F286" s="68"/>
      <c r="H286" s="2"/>
      <c r="I286" s="2"/>
      <c r="J286" s="72"/>
      <c r="K286" s="59"/>
      <c r="M286" s="68"/>
      <c r="O286" s="2"/>
      <c r="P286" s="2"/>
      <c r="Q286" s="2"/>
      <c r="R286" s="59"/>
      <c r="S286" s="2"/>
    </row>
    <row r="287" spans="1:19" s="1" customFormat="1" ht="20.100000000000001" customHeight="1" x14ac:dyDescent="0.25">
      <c r="A287" s="68"/>
      <c r="F287" s="68"/>
      <c r="H287" s="2"/>
      <c r="I287" s="2"/>
      <c r="J287" s="72"/>
      <c r="K287" s="59"/>
      <c r="M287" s="68"/>
      <c r="O287" s="2"/>
      <c r="P287" s="2"/>
      <c r="Q287" s="2"/>
      <c r="R287" s="59"/>
      <c r="S287" s="2"/>
    </row>
    <row r="288" spans="1:19" s="1" customFormat="1" ht="20.100000000000001" customHeight="1" x14ac:dyDescent="0.25">
      <c r="A288" s="68"/>
      <c r="F288" s="68"/>
      <c r="H288" s="2"/>
      <c r="I288" s="2"/>
      <c r="J288" s="72"/>
      <c r="K288" s="59"/>
      <c r="M288" s="68"/>
      <c r="O288" s="2"/>
      <c r="P288" s="2"/>
      <c r="Q288" s="2"/>
      <c r="R288" s="59"/>
      <c r="S288" s="2"/>
    </row>
    <row r="289" spans="1:19" s="1" customFormat="1" ht="20.100000000000001" customHeight="1" x14ac:dyDescent="0.25">
      <c r="A289" s="68"/>
      <c r="F289" s="68"/>
      <c r="H289" s="2"/>
      <c r="I289" s="2"/>
      <c r="J289" s="72"/>
      <c r="K289" s="59"/>
      <c r="M289" s="68"/>
      <c r="O289" s="2"/>
      <c r="P289" s="2"/>
      <c r="Q289" s="2"/>
      <c r="R289" s="59"/>
      <c r="S289" s="2"/>
    </row>
    <row r="290" spans="1:19" s="1" customFormat="1" ht="20.100000000000001" customHeight="1" x14ac:dyDescent="0.25">
      <c r="A290" s="68"/>
      <c r="F290" s="68"/>
      <c r="H290" s="2"/>
      <c r="I290" s="2"/>
      <c r="J290" s="72"/>
      <c r="K290" s="59"/>
      <c r="M290" s="68"/>
      <c r="O290" s="2"/>
      <c r="P290" s="2"/>
      <c r="Q290" s="2"/>
      <c r="R290" s="59"/>
      <c r="S290" s="2"/>
    </row>
    <row r="291" spans="1:19" s="1" customFormat="1" ht="20.100000000000001" customHeight="1" x14ac:dyDescent="0.25">
      <c r="A291" s="68"/>
      <c r="F291" s="68"/>
      <c r="H291" s="2"/>
      <c r="I291" s="2"/>
      <c r="J291" s="72"/>
      <c r="K291" s="59"/>
      <c r="M291" s="68"/>
      <c r="O291" s="2"/>
      <c r="P291" s="2"/>
      <c r="Q291" s="2"/>
      <c r="R291" s="59"/>
      <c r="S291" s="2"/>
    </row>
    <row r="292" spans="1:19" s="1" customFormat="1" ht="20.100000000000001" customHeight="1" x14ac:dyDescent="0.25">
      <c r="A292" s="68"/>
      <c r="F292" s="68"/>
      <c r="H292" s="2"/>
      <c r="I292" s="2"/>
      <c r="J292" s="72"/>
      <c r="K292" s="59"/>
      <c r="M292" s="68"/>
      <c r="O292" s="2"/>
      <c r="P292" s="2"/>
      <c r="Q292" s="2"/>
      <c r="R292" s="59"/>
      <c r="S292" s="2"/>
    </row>
    <row r="293" spans="1:19" s="1" customFormat="1" ht="20.100000000000001" customHeight="1" x14ac:dyDescent="0.25">
      <c r="A293" s="68"/>
      <c r="F293" s="68"/>
      <c r="H293" s="2"/>
      <c r="I293" s="2"/>
      <c r="J293" s="72"/>
      <c r="K293" s="59"/>
      <c r="M293" s="68"/>
      <c r="O293" s="2"/>
      <c r="P293" s="2"/>
      <c r="Q293" s="2"/>
      <c r="R293" s="59"/>
      <c r="S293" s="2"/>
    </row>
    <row r="294" spans="1:19" s="1" customFormat="1" ht="20.100000000000001" customHeight="1" x14ac:dyDescent="0.25">
      <c r="A294" s="68"/>
      <c r="F294" s="68"/>
      <c r="H294" s="2"/>
      <c r="I294" s="2"/>
      <c r="J294" s="72"/>
      <c r="K294" s="59"/>
      <c r="M294" s="68"/>
      <c r="O294" s="2"/>
      <c r="P294" s="2"/>
      <c r="Q294" s="2"/>
      <c r="R294" s="59"/>
      <c r="S294" s="2"/>
    </row>
    <row r="295" spans="1:19" s="1" customFormat="1" ht="20.100000000000001" customHeight="1" x14ac:dyDescent="0.25">
      <c r="A295" s="68"/>
      <c r="F295" s="68"/>
      <c r="H295" s="2"/>
      <c r="I295" s="2"/>
      <c r="J295" s="72"/>
      <c r="K295" s="59"/>
      <c r="M295" s="68"/>
      <c r="O295" s="2"/>
      <c r="P295" s="2"/>
      <c r="Q295" s="2"/>
      <c r="R295" s="59"/>
      <c r="S295" s="2"/>
    </row>
    <row r="296" spans="1:19" s="1" customFormat="1" ht="20.100000000000001" customHeight="1" x14ac:dyDescent="0.25">
      <c r="A296" s="68"/>
      <c r="F296" s="68"/>
      <c r="H296" s="2"/>
      <c r="I296" s="2"/>
      <c r="J296" s="72"/>
      <c r="K296" s="59"/>
      <c r="M296" s="68"/>
      <c r="O296" s="2"/>
      <c r="P296" s="2"/>
      <c r="Q296" s="2"/>
      <c r="R296" s="59"/>
      <c r="S296" s="2"/>
    </row>
    <row r="297" spans="1:19" s="1" customFormat="1" ht="20.100000000000001" customHeight="1" x14ac:dyDescent="0.25">
      <c r="A297" s="68"/>
      <c r="F297" s="68"/>
      <c r="H297" s="2"/>
      <c r="I297" s="2"/>
      <c r="J297" s="72"/>
      <c r="K297" s="59"/>
      <c r="M297" s="68"/>
      <c r="O297" s="2"/>
      <c r="P297" s="2"/>
      <c r="Q297" s="2"/>
      <c r="R297" s="59"/>
      <c r="S297" s="2"/>
    </row>
    <row r="298" spans="1:19" s="1" customFormat="1" ht="20.100000000000001" customHeight="1" x14ac:dyDescent="0.25">
      <c r="A298" s="68"/>
      <c r="F298" s="68"/>
      <c r="H298" s="2"/>
      <c r="I298" s="2"/>
      <c r="J298" s="72"/>
      <c r="K298" s="59"/>
      <c r="M298" s="68"/>
      <c r="O298" s="2"/>
      <c r="P298" s="2"/>
      <c r="Q298" s="2"/>
      <c r="R298" s="59"/>
      <c r="S298" s="2"/>
    </row>
    <row r="299" spans="1:19" s="1" customFormat="1" ht="20.100000000000001" customHeight="1" x14ac:dyDescent="0.25">
      <c r="A299" s="68"/>
      <c r="F299" s="68"/>
      <c r="H299" s="2"/>
      <c r="I299" s="2"/>
      <c r="J299" s="72"/>
      <c r="K299" s="59"/>
      <c r="M299" s="68"/>
      <c r="O299" s="2"/>
      <c r="P299" s="2"/>
      <c r="Q299" s="2"/>
      <c r="R299" s="59"/>
      <c r="S299" s="2"/>
    </row>
    <row r="300" spans="1:19" s="1" customFormat="1" ht="20.100000000000001" customHeight="1" x14ac:dyDescent="0.25">
      <c r="A300" s="68"/>
      <c r="F300" s="68"/>
      <c r="H300" s="2"/>
      <c r="I300" s="2"/>
      <c r="J300" s="72"/>
      <c r="K300" s="59"/>
      <c r="M300" s="68"/>
      <c r="O300" s="2"/>
      <c r="P300" s="2"/>
      <c r="Q300" s="2"/>
      <c r="R300" s="59"/>
      <c r="S300" s="2"/>
    </row>
    <row r="301" spans="1:19" s="1" customFormat="1" ht="20.100000000000001" customHeight="1" x14ac:dyDescent="0.25">
      <c r="A301" s="68"/>
      <c r="F301" s="68"/>
      <c r="H301" s="2"/>
      <c r="I301" s="2"/>
      <c r="J301" s="72"/>
      <c r="K301" s="59"/>
      <c r="M301" s="68"/>
      <c r="O301" s="2"/>
      <c r="P301" s="2"/>
      <c r="Q301" s="2"/>
      <c r="R301" s="59"/>
      <c r="S301" s="2"/>
    </row>
    <row r="302" spans="1:19" s="1" customFormat="1" ht="20.100000000000001" customHeight="1" x14ac:dyDescent="0.25">
      <c r="A302" s="68"/>
      <c r="F302" s="68"/>
      <c r="H302" s="2"/>
      <c r="I302" s="2"/>
      <c r="J302" s="72"/>
      <c r="K302" s="59"/>
      <c r="M302" s="68"/>
      <c r="O302" s="2"/>
      <c r="P302" s="2"/>
      <c r="Q302" s="2"/>
      <c r="R302" s="59"/>
      <c r="S302" s="2"/>
    </row>
    <row r="303" spans="1:19" s="1" customFormat="1" ht="20.100000000000001" customHeight="1" x14ac:dyDescent="0.25">
      <c r="A303" s="68"/>
      <c r="F303" s="68"/>
      <c r="H303" s="2"/>
      <c r="I303" s="2"/>
      <c r="J303" s="72"/>
      <c r="K303" s="59"/>
      <c r="M303" s="68"/>
      <c r="O303" s="2"/>
      <c r="P303" s="2"/>
      <c r="Q303" s="2"/>
      <c r="R303" s="59"/>
      <c r="S303" s="2"/>
    </row>
    <row r="304" spans="1:19" s="1" customFormat="1" ht="20.100000000000001" customHeight="1" x14ac:dyDescent="0.25">
      <c r="A304" s="68"/>
      <c r="F304" s="68"/>
      <c r="H304" s="2"/>
      <c r="I304" s="2"/>
      <c r="J304" s="72"/>
      <c r="K304" s="59"/>
      <c r="M304" s="68"/>
      <c r="O304" s="2"/>
      <c r="P304" s="2"/>
      <c r="Q304" s="2"/>
      <c r="R304" s="59"/>
      <c r="S304" s="2"/>
    </row>
    <row r="305" spans="1:19" s="1" customFormat="1" ht="20.100000000000001" customHeight="1" x14ac:dyDescent="0.25">
      <c r="A305" s="68"/>
      <c r="F305" s="68"/>
      <c r="H305" s="2"/>
      <c r="I305" s="2"/>
      <c r="J305" s="72"/>
      <c r="K305" s="59"/>
      <c r="M305" s="68"/>
      <c r="O305" s="2"/>
      <c r="P305" s="2"/>
      <c r="Q305" s="2"/>
      <c r="R305" s="2"/>
      <c r="S305" s="2"/>
    </row>
    <row r="306" spans="1:19" s="1" customFormat="1" ht="20.100000000000001" customHeight="1" x14ac:dyDescent="0.25">
      <c r="A306" s="68"/>
      <c r="F306" s="68"/>
      <c r="H306" s="2"/>
      <c r="I306" s="2"/>
      <c r="J306" s="72"/>
      <c r="K306" s="59"/>
      <c r="M306" s="68"/>
      <c r="O306" s="2"/>
      <c r="P306" s="2"/>
      <c r="Q306" s="2"/>
      <c r="R306" s="2"/>
      <c r="S306" s="2"/>
    </row>
    <row r="307" spans="1:19" s="1" customFormat="1" ht="20.100000000000001" customHeight="1" x14ac:dyDescent="0.25">
      <c r="A307" s="68"/>
      <c r="F307" s="68"/>
      <c r="H307" s="2"/>
      <c r="I307" s="2"/>
      <c r="J307" s="72"/>
      <c r="K307" s="59"/>
      <c r="M307" s="68"/>
      <c r="O307" s="2"/>
      <c r="P307" s="2"/>
      <c r="Q307" s="2"/>
      <c r="R307" s="2"/>
      <c r="S307" s="2"/>
    </row>
    <row r="308" spans="1:19" s="1" customFormat="1" ht="20.100000000000001" customHeight="1" x14ac:dyDescent="0.25">
      <c r="A308" s="68"/>
      <c r="F308" s="68"/>
      <c r="H308" s="2"/>
      <c r="I308" s="2"/>
      <c r="J308" s="72"/>
      <c r="K308" s="59"/>
      <c r="M308" s="68"/>
      <c r="O308" s="2"/>
      <c r="P308" s="2"/>
      <c r="Q308" s="2"/>
      <c r="R308" s="2"/>
      <c r="S308" s="2"/>
    </row>
    <row r="309" spans="1:19" s="1" customFormat="1" ht="20.100000000000001" customHeight="1" x14ac:dyDescent="0.25">
      <c r="A309" s="68"/>
      <c r="F309" s="68"/>
      <c r="H309" s="2"/>
      <c r="I309" s="2"/>
      <c r="J309" s="72"/>
      <c r="K309" s="59"/>
      <c r="M309" s="68"/>
      <c r="O309" s="2"/>
      <c r="P309" s="2"/>
      <c r="Q309" s="2"/>
      <c r="R309" s="2"/>
      <c r="S309" s="2"/>
    </row>
    <row r="310" spans="1:19" s="1" customFormat="1" ht="20.100000000000001" customHeight="1" x14ac:dyDescent="0.25">
      <c r="A310" s="68"/>
      <c r="F310" s="68"/>
      <c r="H310" s="2"/>
      <c r="I310" s="2"/>
      <c r="J310" s="72"/>
      <c r="K310" s="59"/>
      <c r="M310" s="68"/>
      <c r="O310" s="2"/>
      <c r="P310" s="2"/>
      <c r="Q310" s="2"/>
      <c r="R310" s="2"/>
      <c r="S310" s="2"/>
    </row>
    <row r="311" spans="1:19" s="1" customFormat="1" ht="20.100000000000001" customHeight="1" x14ac:dyDescent="0.25">
      <c r="A311" s="68"/>
      <c r="F311" s="68"/>
      <c r="H311" s="2"/>
      <c r="I311" s="2"/>
      <c r="J311" s="72"/>
      <c r="K311" s="59"/>
      <c r="M311" s="68"/>
      <c r="O311" s="2"/>
      <c r="P311" s="2"/>
      <c r="Q311" s="2"/>
      <c r="R311" s="2"/>
      <c r="S311" s="2"/>
    </row>
    <row r="312" spans="1:19" s="1" customFormat="1" ht="20.100000000000001" customHeight="1" x14ac:dyDescent="0.25">
      <c r="A312" s="68"/>
      <c r="F312" s="68"/>
      <c r="H312" s="2"/>
      <c r="I312" s="2"/>
      <c r="J312" s="72"/>
      <c r="K312" s="59"/>
      <c r="M312" s="68"/>
      <c r="O312" s="2"/>
      <c r="P312" s="2"/>
      <c r="Q312" s="2"/>
      <c r="R312" s="2"/>
      <c r="S312" s="2"/>
    </row>
    <row r="313" spans="1:19" s="1" customFormat="1" ht="20.100000000000001" customHeight="1" x14ac:dyDescent="0.25">
      <c r="A313" s="68"/>
      <c r="F313" s="68"/>
      <c r="H313" s="2"/>
      <c r="I313" s="2"/>
      <c r="J313" s="72"/>
      <c r="K313" s="59"/>
      <c r="M313" s="68"/>
      <c r="O313" s="2"/>
      <c r="P313" s="2"/>
      <c r="Q313" s="2"/>
      <c r="R313" s="2"/>
      <c r="S313" s="2"/>
    </row>
    <row r="314" spans="1:19" s="1" customFormat="1" ht="20.100000000000001" customHeight="1" x14ac:dyDescent="0.25">
      <c r="A314" s="68"/>
      <c r="F314" s="68"/>
      <c r="H314" s="2"/>
      <c r="I314" s="2"/>
      <c r="J314" s="72"/>
      <c r="K314" s="59"/>
      <c r="M314" s="68"/>
      <c r="O314" s="2"/>
      <c r="P314" s="2"/>
      <c r="Q314" s="2"/>
      <c r="R314" s="2"/>
      <c r="S314" s="2"/>
    </row>
    <row r="315" spans="1:19" s="1" customFormat="1" ht="20.100000000000001" customHeight="1" x14ac:dyDescent="0.25">
      <c r="A315" s="68"/>
      <c r="F315" s="68"/>
      <c r="H315" s="2"/>
      <c r="I315" s="2"/>
      <c r="J315" s="72"/>
      <c r="K315" s="59"/>
      <c r="M315" s="68"/>
      <c r="O315" s="2"/>
      <c r="P315" s="2"/>
      <c r="Q315" s="2"/>
      <c r="R315" s="2"/>
      <c r="S315" s="2"/>
    </row>
    <row r="316" spans="1:19" s="1" customFormat="1" ht="20.100000000000001" customHeight="1" x14ac:dyDescent="0.25">
      <c r="A316" s="68"/>
      <c r="F316" s="68"/>
      <c r="H316" s="2"/>
      <c r="I316" s="2"/>
      <c r="J316" s="72"/>
      <c r="K316" s="59"/>
      <c r="M316" s="68"/>
      <c r="O316" s="2"/>
      <c r="P316" s="2"/>
      <c r="Q316" s="2"/>
      <c r="R316" s="2"/>
      <c r="S316" s="2"/>
    </row>
    <row r="317" spans="1:19" s="1" customFormat="1" ht="20.100000000000001" customHeight="1" x14ac:dyDescent="0.25">
      <c r="A317" s="68"/>
      <c r="F317" s="68"/>
      <c r="H317" s="2"/>
      <c r="I317" s="2"/>
      <c r="J317" s="72"/>
      <c r="K317" s="59"/>
      <c r="M317" s="68"/>
      <c r="O317" s="2"/>
      <c r="P317" s="2"/>
      <c r="Q317" s="2"/>
      <c r="R317" s="2"/>
      <c r="S317" s="2"/>
    </row>
    <row r="318" spans="1:19" s="1" customFormat="1" ht="20.100000000000001" customHeight="1" x14ac:dyDescent="0.25">
      <c r="A318" s="68"/>
      <c r="F318" s="68"/>
      <c r="H318" s="2"/>
      <c r="I318" s="2"/>
      <c r="J318" s="72"/>
      <c r="K318" s="59"/>
      <c r="M318" s="68"/>
      <c r="O318" s="2"/>
      <c r="P318" s="2"/>
      <c r="Q318" s="2"/>
      <c r="R318" s="2"/>
      <c r="S318" s="2"/>
    </row>
    <row r="319" spans="1:19" s="1" customFormat="1" ht="20.100000000000001" customHeight="1" x14ac:dyDescent="0.25">
      <c r="A319" s="68"/>
      <c r="F319" s="68"/>
      <c r="H319" s="2"/>
      <c r="I319" s="2"/>
      <c r="J319" s="72"/>
      <c r="K319" s="59"/>
      <c r="M319" s="68"/>
      <c r="O319" s="2"/>
      <c r="P319" s="2"/>
      <c r="Q319" s="2"/>
      <c r="R319" s="2"/>
      <c r="S319" s="2"/>
    </row>
    <row r="320" spans="1:19" s="1" customFormat="1" ht="20.100000000000001" customHeight="1" x14ac:dyDescent="0.25">
      <c r="A320" s="68"/>
      <c r="F320" s="68"/>
      <c r="H320" s="2"/>
      <c r="I320" s="2"/>
      <c r="J320" s="72"/>
      <c r="K320" s="59"/>
      <c r="M320" s="68"/>
      <c r="O320" s="2"/>
      <c r="P320" s="2"/>
      <c r="Q320" s="2"/>
      <c r="R320" s="2"/>
      <c r="S320" s="2"/>
    </row>
    <row r="321" spans="1:19" s="1" customFormat="1" ht="20.100000000000001" customHeight="1" x14ac:dyDescent="0.25">
      <c r="A321" s="68"/>
      <c r="F321" s="68"/>
      <c r="H321" s="2"/>
      <c r="I321" s="2"/>
      <c r="J321" s="72"/>
      <c r="K321" s="59"/>
      <c r="M321" s="68"/>
      <c r="O321" s="2"/>
      <c r="P321" s="2"/>
      <c r="Q321" s="2"/>
      <c r="R321" s="2"/>
      <c r="S321" s="2"/>
    </row>
    <row r="322" spans="1:19" s="1" customFormat="1" ht="20.100000000000001" customHeight="1" x14ac:dyDescent="0.25">
      <c r="A322" s="68"/>
      <c r="F322" s="68"/>
      <c r="H322" s="2"/>
      <c r="I322" s="2"/>
      <c r="J322" s="72"/>
      <c r="K322" s="59"/>
      <c r="M322" s="68"/>
      <c r="O322" s="2"/>
      <c r="P322" s="2"/>
      <c r="Q322" s="2"/>
      <c r="R322" s="2"/>
      <c r="S322" s="2"/>
    </row>
    <row r="323" spans="1:19" s="1" customFormat="1" ht="20.100000000000001" customHeight="1" x14ac:dyDescent="0.25">
      <c r="A323" s="68"/>
      <c r="F323" s="68"/>
      <c r="H323" s="2"/>
      <c r="I323" s="2"/>
      <c r="J323" s="72"/>
      <c r="K323" s="59"/>
      <c r="M323" s="68"/>
      <c r="O323" s="2"/>
      <c r="P323" s="2"/>
      <c r="Q323" s="2"/>
      <c r="R323" s="2"/>
      <c r="S323" s="2"/>
    </row>
    <row r="324" spans="1:19" s="1" customFormat="1" ht="20.100000000000001" customHeight="1" x14ac:dyDescent="0.25">
      <c r="A324" s="68"/>
      <c r="F324" s="68"/>
      <c r="H324" s="2"/>
      <c r="I324" s="2"/>
      <c r="J324" s="72"/>
      <c r="K324" s="59"/>
      <c r="M324" s="68"/>
      <c r="O324" s="2"/>
      <c r="P324" s="2"/>
      <c r="Q324" s="2"/>
      <c r="R324" s="2"/>
      <c r="S324" s="2"/>
    </row>
    <row r="325" spans="1:19" s="1" customFormat="1" ht="20.100000000000001" customHeight="1" x14ac:dyDescent="0.25">
      <c r="A325" s="68"/>
      <c r="F325" s="68"/>
      <c r="H325" s="2"/>
      <c r="I325" s="2"/>
      <c r="J325" s="72"/>
      <c r="K325" s="59"/>
      <c r="M325" s="68"/>
      <c r="O325" s="2"/>
      <c r="P325" s="2"/>
      <c r="Q325" s="2"/>
      <c r="R325" s="2"/>
      <c r="S325" s="2"/>
    </row>
    <row r="326" spans="1:19" s="1" customFormat="1" ht="20.100000000000001" customHeight="1" x14ac:dyDescent="0.25">
      <c r="A326" s="68"/>
      <c r="F326" s="68"/>
      <c r="H326" s="2"/>
      <c r="I326" s="2"/>
      <c r="J326" s="72"/>
      <c r="K326" s="59"/>
      <c r="M326" s="68"/>
      <c r="O326" s="2"/>
      <c r="P326" s="2"/>
      <c r="Q326" s="2"/>
      <c r="R326" s="2"/>
      <c r="S326" s="2"/>
    </row>
    <row r="327" spans="1:19" s="1" customFormat="1" ht="20.100000000000001" customHeight="1" x14ac:dyDescent="0.25">
      <c r="A327" s="68"/>
      <c r="F327" s="68"/>
      <c r="H327" s="2"/>
      <c r="I327" s="2"/>
      <c r="J327" s="72"/>
      <c r="K327" s="59"/>
      <c r="M327" s="68"/>
      <c r="O327" s="2"/>
      <c r="P327" s="2"/>
      <c r="Q327" s="2"/>
      <c r="R327" s="2"/>
      <c r="S327" s="2"/>
    </row>
    <row r="328" spans="1:19" s="1" customFormat="1" ht="20.100000000000001" customHeight="1" x14ac:dyDescent="0.25">
      <c r="A328" s="68"/>
      <c r="F328" s="68"/>
      <c r="H328" s="2"/>
      <c r="I328" s="2"/>
      <c r="J328" s="72"/>
      <c r="K328" s="59"/>
      <c r="M328" s="68"/>
      <c r="O328" s="2"/>
      <c r="P328" s="2"/>
      <c r="Q328" s="2"/>
      <c r="R328" s="2"/>
      <c r="S328" s="2"/>
    </row>
    <row r="329" spans="1:19" s="1" customFormat="1" ht="20.100000000000001" customHeight="1" x14ac:dyDescent="0.25">
      <c r="A329" s="68"/>
      <c r="F329" s="68"/>
      <c r="H329" s="2"/>
      <c r="I329" s="2"/>
      <c r="J329" s="72"/>
      <c r="K329" s="59"/>
      <c r="M329" s="68"/>
      <c r="O329" s="2"/>
      <c r="P329" s="2"/>
      <c r="Q329" s="2"/>
      <c r="R329" s="2"/>
      <c r="S329" s="2"/>
    </row>
    <row r="330" spans="1:19" s="1" customFormat="1" ht="20.100000000000001" customHeight="1" x14ac:dyDescent="0.25">
      <c r="A330" s="68"/>
      <c r="F330" s="68"/>
      <c r="H330" s="2"/>
      <c r="I330" s="2"/>
      <c r="J330" s="72"/>
      <c r="K330" s="59"/>
      <c r="M330" s="68"/>
      <c r="O330" s="2"/>
      <c r="P330" s="2"/>
      <c r="Q330" s="2"/>
      <c r="R330" s="2"/>
      <c r="S330" s="2"/>
    </row>
    <row r="331" spans="1:19" s="1" customFormat="1" ht="20.100000000000001" customHeight="1" x14ac:dyDescent="0.25">
      <c r="A331" s="68"/>
      <c r="F331" s="68"/>
      <c r="H331" s="2"/>
      <c r="I331" s="2"/>
      <c r="J331" s="72"/>
      <c r="K331" s="59"/>
      <c r="M331" s="68"/>
      <c r="O331" s="2"/>
      <c r="P331" s="2"/>
      <c r="Q331" s="2"/>
      <c r="R331" s="2"/>
      <c r="S331" s="2"/>
    </row>
    <row r="332" spans="1:19" s="1" customFormat="1" ht="20.100000000000001" customHeight="1" x14ac:dyDescent="0.25">
      <c r="A332" s="68"/>
      <c r="F332" s="68"/>
      <c r="H332" s="2"/>
      <c r="I332" s="2"/>
      <c r="J332" s="72"/>
      <c r="K332" s="59"/>
      <c r="M332" s="68"/>
      <c r="O332" s="2"/>
      <c r="P332" s="2"/>
      <c r="Q332" s="2"/>
      <c r="R332" s="2"/>
      <c r="S332" s="2"/>
    </row>
    <row r="333" spans="1:19" s="1" customFormat="1" ht="20.100000000000001" customHeight="1" x14ac:dyDescent="0.25">
      <c r="A333" s="68"/>
      <c r="F333" s="68"/>
      <c r="H333" s="2"/>
      <c r="I333" s="2"/>
      <c r="J333" s="72"/>
      <c r="K333" s="59"/>
      <c r="M333" s="68"/>
      <c r="O333" s="2"/>
      <c r="P333" s="2"/>
      <c r="Q333" s="2"/>
      <c r="R333" s="2"/>
      <c r="S333" s="2"/>
    </row>
    <row r="334" spans="1:19" s="1" customFormat="1" ht="20.100000000000001" customHeight="1" x14ac:dyDescent="0.25">
      <c r="A334" s="68"/>
      <c r="F334" s="68"/>
      <c r="H334" s="2"/>
      <c r="I334" s="2"/>
      <c r="J334" s="72"/>
      <c r="K334" s="59"/>
      <c r="M334" s="68"/>
      <c r="O334" s="2"/>
      <c r="P334" s="2"/>
      <c r="Q334" s="2"/>
      <c r="R334" s="2"/>
      <c r="S334" s="2"/>
    </row>
    <row r="335" spans="1:19" s="1" customFormat="1" ht="20.100000000000001" customHeight="1" x14ac:dyDescent="0.25">
      <c r="A335" s="68"/>
      <c r="F335" s="68"/>
      <c r="H335" s="2"/>
      <c r="I335" s="2"/>
      <c r="J335" s="72"/>
      <c r="K335" s="59"/>
      <c r="M335" s="68"/>
      <c r="O335" s="2"/>
      <c r="P335" s="2"/>
      <c r="Q335" s="2"/>
      <c r="R335" s="2"/>
      <c r="S335" s="2"/>
    </row>
    <row r="336" spans="1:19" s="1" customFormat="1" ht="20.100000000000001" customHeight="1" x14ac:dyDescent="0.25">
      <c r="A336" s="68"/>
      <c r="F336" s="68"/>
      <c r="H336" s="2"/>
      <c r="I336" s="2"/>
      <c r="J336" s="72"/>
      <c r="K336" s="59"/>
      <c r="M336" s="68"/>
      <c r="O336" s="2"/>
      <c r="P336" s="2"/>
      <c r="Q336" s="2"/>
      <c r="R336" s="2"/>
      <c r="S336" s="2"/>
    </row>
    <row r="337" spans="1:19" s="1" customFormat="1" ht="20.100000000000001" customHeight="1" x14ac:dyDescent="0.25">
      <c r="A337" s="68"/>
      <c r="F337" s="68"/>
      <c r="H337" s="2"/>
      <c r="I337" s="2"/>
      <c r="J337" s="72"/>
      <c r="K337" s="59"/>
      <c r="M337" s="68"/>
      <c r="O337" s="2"/>
      <c r="P337" s="2"/>
      <c r="Q337" s="2"/>
      <c r="R337" s="2"/>
      <c r="S337" s="2"/>
    </row>
    <row r="338" spans="1:19" s="1" customFormat="1" ht="20.100000000000001" customHeight="1" x14ac:dyDescent="0.25">
      <c r="A338" s="68"/>
      <c r="F338" s="68"/>
      <c r="H338" s="2"/>
      <c r="I338" s="2"/>
      <c r="J338" s="72"/>
      <c r="K338" s="59"/>
      <c r="M338" s="68"/>
      <c r="O338" s="2"/>
      <c r="P338" s="2"/>
      <c r="Q338" s="2"/>
      <c r="R338" s="2"/>
      <c r="S338" s="2"/>
    </row>
    <row r="339" spans="1:19" s="1" customFormat="1" ht="20.100000000000001" customHeight="1" x14ac:dyDescent="0.25">
      <c r="A339" s="68"/>
      <c r="F339" s="68"/>
      <c r="H339" s="2"/>
      <c r="I339" s="2"/>
      <c r="J339" s="72"/>
      <c r="K339" s="59"/>
      <c r="M339" s="68"/>
      <c r="O339" s="2"/>
      <c r="P339" s="2"/>
      <c r="Q339" s="2"/>
      <c r="R339" s="2"/>
      <c r="S339" s="2"/>
    </row>
    <row r="340" spans="1:19" s="1" customFormat="1" ht="20.100000000000001" customHeight="1" x14ac:dyDescent="0.25">
      <c r="A340" s="68"/>
      <c r="F340" s="68"/>
      <c r="H340" s="2"/>
      <c r="I340" s="2"/>
      <c r="J340" s="72"/>
      <c r="K340" s="59"/>
      <c r="M340" s="68"/>
      <c r="O340" s="2"/>
      <c r="P340" s="2"/>
      <c r="Q340" s="2"/>
      <c r="R340" s="2"/>
      <c r="S340" s="2"/>
    </row>
    <row r="341" spans="1:19" s="1" customFormat="1" ht="20.100000000000001" customHeight="1" x14ac:dyDescent="0.25">
      <c r="A341" s="68"/>
      <c r="F341" s="68"/>
      <c r="H341" s="2"/>
      <c r="I341" s="2"/>
      <c r="J341" s="72"/>
      <c r="K341" s="59"/>
      <c r="M341" s="68"/>
      <c r="O341" s="2"/>
      <c r="P341" s="2"/>
      <c r="Q341" s="2"/>
      <c r="R341" s="2"/>
      <c r="S341" s="2"/>
    </row>
    <row r="342" spans="1:19" s="1" customFormat="1" ht="20.100000000000001" customHeight="1" x14ac:dyDescent="0.25">
      <c r="A342" s="68"/>
      <c r="F342" s="68"/>
      <c r="H342" s="2"/>
      <c r="I342" s="2"/>
      <c r="J342" s="72"/>
      <c r="K342" s="59"/>
      <c r="M342" s="68"/>
      <c r="O342" s="2"/>
      <c r="P342" s="2"/>
      <c r="Q342" s="2"/>
      <c r="R342" s="2"/>
      <c r="S342" s="2"/>
    </row>
    <row r="343" spans="1:19" s="1" customFormat="1" ht="20.100000000000001" customHeight="1" x14ac:dyDescent="0.25">
      <c r="A343" s="68"/>
      <c r="F343" s="68"/>
      <c r="H343" s="2"/>
      <c r="I343" s="2"/>
      <c r="J343" s="72"/>
      <c r="K343" s="59"/>
      <c r="M343" s="68"/>
      <c r="O343" s="2"/>
      <c r="P343" s="2"/>
      <c r="Q343" s="2"/>
      <c r="R343" s="2"/>
      <c r="S343" s="2"/>
    </row>
    <row r="344" spans="1:19" s="1" customFormat="1" ht="20.100000000000001" customHeight="1" x14ac:dyDescent="0.25">
      <c r="A344" s="68"/>
      <c r="F344" s="68"/>
      <c r="H344" s="2"/>
      <c r="I344" s="2"/>
      <c r="J344" s="72"/>
      <c r="K344" s="59"/>
      <c r="M344" s="68"/>
      <c r="O344" s="2"/>
      <c r="P344" s="2"/>
      <c r="Q344" s="2"/>
      <c r="R344" s="2"/>
      <c r="S344" s="2"/>
    </row>
    <row r="345" spans="1:19" s="1" customFormat="1" ht="20.100000000000001" customHeight="1" x14ac:dyDescent="0.25">
      <c r="A345" s="68"/>
      <c r="F345" s="68"/>
      <c r="H345" s="2"/>
      <c r="I345" s="2"/>
      <c r="J345" s="72"/>
      <c r="K345" s="59"/>
      <c r="M345" s="68"/>
      <c r="O345" s="2"/>
      <c r="P345" s="2"/>
      <c r="Q345" s="2"/>
      <c r="R345" s="2"/>
      <c r="S345" s="2"/>
    </row>
    <row r="346" spans="1:19" s="1" customFormat="1" ht="20.100000000000001" customHeight="1" x14ac:dyDescent="0.25">
      <c r="A346" s="68"/>
      <c r="F346" s="68"/>
      <c r="H346" s="2"/>
      <c r="I346" s="2"/>
      <c r="J346" s="72"/>
      <c r="K346" s="59"/>
      <c r="M346" s="68"/>
      <c r="O346" s="2"/>
      <c r="P346" s="2"/>
      <c r="Q346" s="2"/>
      <c r="R346" s="2"/>
      <c r="S346" s="2"/>
    </row>
    <row r="347" spans="1:19" s="1" customFormat="1" ht="20.100000000000001" customHeight="1" x14ac:dyDescent="0.25">
      <c r="A347" s="68"/>
      <c r="F347" s="68"/>
      <c r="H347" s="2"/>
      <c r="I347" s="2"/>
      <c r="J347" s="72"/>
      <c r="K347" s="59"/>
      <c r="M347" s="68"/>
      <c r="O347" s="2"/>
      <c r="P347" s="2"/>
      <c r="Q347" s="2"/>
      <c r="R347" s="2"/>
      <c r="S347" s="2"/>
    </row>
    <row r="348" spans="1:19" s="1" customFormat="1" ht="20.100000000000001" customHeight="1" x14ac:dyDescent="0.25">
      <c r="A348" s="68"/>
      <c r="F348" s="68"/>
      <c r="H348" s="2"/>
      <c r="I348" s="2"/>
      <c r="J348" s="72"/>
      <c r="K348" s="59"/>
      <c r="M348" s="68"/>
      <c r="O348" s="2"/>
      <c r="P348" s="2"/>
      <c r="Q348" s="2"/>
      <c r="R348" s="2"/>
      <c r="S348" s="2"/>
    </row>
    <row r="349" spans="1:19" s="1" customFormat="1" ht="20.100000000000001" customHeight="1" x14ac:dyDescent="0.25">
      <c r="A349" s="68"/>
      <c r="F349" s="68"/>
      <c r="H349" s="2"/>
      <c r="I349" s="2"/>
      <c r="J349" s="72"/>
      <c r="K349" s="59"/>
      <c r="M349" s="68"/>
      <c r="O349" s="2"/>
      <c r="P349" s="2"/>
      <c r="Q349" s="2"/>
      <c r="R349" s="2"/>
      <c r="S349" s="2"/>
    </row>
    <row r="350" spans="1:19" s="1" customFormat="1" ht="20.100000000000001" customHeight="1" x14ac:dyDescent="0.25">
      <c r="A350" s="68"/>
      <c r="F350" s="68"/>
      <c r="H350" s="2"/>
      <c r="I350" s="2"/>
      <c r="J350" s="72"/>
      <c r="K350" s="59"/>
      <c r="M350" s="68"/>
      <c r="O350" s="2"/>
      <c r="P350" s="2"/>
      <c r="Q350" s="2"/>
      <c r="R350" s="2"/>
      <c r="S350" s="2"/>
    </row>
    <row r="351" spans="1:19" s="1" customFormat="1" ht="20.100000000000001" customHeight="1" x14ac:dyDescent="0.25">
      <c r="A351" s="68"/>
      <c r="F351" s="68"/>
      <c r="H351" s="2"/>
      <c r="I351" s="2"/>
      <c r="J351" s="72"/>
      <c r="K351" s="59"/>
      <c r="M351" s="68"/>
      <c r="O351" s="2"/>
      <c r="P351" s="2"/>
      <c r="Q351" s="2"/>
      <c r="R351" s="2"/>
      <c r="S351" s="2"/>
    </row>
    <row r="352" spans="1:19" s="1" customFormat="1" ht="20.100000000000001" customHeight="1" x14ac:dyDescent="0.25">
      <c r="A352" s="68"/>
      <c r="F352" s="68"/>
      <c r="H352" s="2"/>
      <c r="I352" s="2"/>
      <c r="J352" s="72"/>
      <c r="K352" s="59"/>
      <c r="M352" s="68"/>
      <c r="O352" s="2"/>
      <c r="P352" s="2"/>
      <c r="Q352" s="2"/>
      <c r="R352" s="2"/>
      <c r="S352" s="2"/>
    </row>
    <row r="353" spans="1:19" s="1" customFormat="1" ht="20.100000000000001" customHeight="1" x14ac:dyDescent="0.25">
      <c r="A353" s="68"/>
      <c r="F353" s="68"/>
      <c r="H353" s="2"/>
      <c r="I353" s="2"/>
      <c r="J353" s="72"/>
      <c r="K353" s="59"/>
      <c r="M353" s="68"/>
      <c r="O353" s="2"/>
      <c r="P353" s="2"/>
      <c r="Q353" s="2"/>
      <c r="R353" s="2"/>
      <c r="S353" s="2"/>
    </row>
    <row r="354" spans="1:19" s="1" customFormat="1" ht="20.100000000000001" customHeight="1" x14ac:dyDescent="0.25">
      <c r="A354" s="68"/>
      <c r="F354" s="68"/>
      <c r="H354" s="2"/>
      <c r="I354" s="2"/>
      <c r="J354" s="72"/>
      <c r="K354" s="59"/>
      <c r="M354" s="68"/>
      <c r="O354" s="2"/>
      <c r="P354" s="2"/>
      <c r="Q354" s="2"/>
      <c r="R354" s="2"/>
      <c r="S354" s="2"/>
    </row>
    <row r="355" spans="1:19" s="1" customFormat="1" ht="20.100000000000001" customHeight="1" x14ac:dyDescent="0.25">
      <c r="A355" s="68"/>
      <c r="F355" s="68"/>
      <c r="H355" s="2"/>
      <c r="I355" s="2"/>
      <c r="J355" s="72"/>
      <c r="K355" s="59"/>
      <c r="M355" s="68"/>
      <c r="O355" s="2"/>
      <c r="P355" s="2"/>
      <c r="Q355" s="2"/>
      <c r="R355" s="2"/>
      <c r="S355" s="2"/>
    </row>
    <row r="356" spans="1:19" s="1" customFormat="1" ht="20.100000000000001" customHeight="1" x14ac:dyDescent="0.25">
      <c r="A356" s="68"/>
      <c r="F356" s="68"/>
      <c r="H356" s="2"/>
      <c r="I356" s="2"/>
      <c r="J356" s="72"/>
      <c r="K356" s="59"/>
      <c r="M356" s="68"/>
      <c r="O356" s="2"/>
      <c r="P356" s="2"/>
      <c r="Q356" s="2"/>
      <c r="R356" s="2"/>
      <c r="S356" s="2"/>
    </row>
    <row r="357" spans="1:19" s="1" customFormat="1" ht="20.100000000000001" customHeight="1" x14ac:dyDescent="0.25">
      <c r="A357" s="68"/>
      <c r="F357" s="68"/>
      <c r="H357" s="2"/>
      <c r="I357" s="2"/>
      <c r="J357" s="72"/>
      <c r="K357" s="59"/>
      <c r="M357" s="68"/>
      <c r="O357" s="2"/>
      <c r="P357" s="2"/>
      <c r="Q357" s="2"/>
      <c r="R357" s="2"/>
      <c r="S357" s="2"/>
    </row>
    <row r="358" spans="1:19" s="1" customFormat="1" ht="20.100000000000001" customHeight="1" x14ac:dyDescent="0.25">
      <c r="A358" s="68"/>
      <c r="F358" s="68"/>
      <c r="H358" s="2"/>
      <c r="I358" s="2"/>
      <c r="J358" s="72"/>
      <c r="K358" s="59"/>
      <c r="M358" s="68"/>
      <c r="O358" s="2"/>
      <c r="P358" s="2"/>
      <c r="Q358" s="2"/>
      <c r="R358" s="2"/>
      <c r="S358" s="2"/>
    </row>
    <row r="359" spans="1:19" s="1" customFormat="1" ht="20.100000000000001" customHeight="1" x14ac:dyDescent="0.25">
      <c r="A359" s="68"/>
      <c r="F359" s="68"/>
      <c r="H359" s="2"/>
      <c r="I359" s="2"/>
      <c r="J359" s="72"/>
      <c r="K359" s="59"/>
      <c r="M359" s="68"/>
      <c r="O359" s="2"/>
      <c r="P359" s="2"/>
      <c r="Q359" s="2"/>
      <c r="R359" s="2"/>
      <c r="S359" s="2"/>
    </row>
    <row r="360" spans="1:19" s="1" customFormat="1" ht="20.100000000000001" customHeight="1" x14ac:dyDescent="0.25">
      <c r="A360" s="68"/>
      <c r="F360" s="68"/>
      <c r="H360" s="2"/>
      <c r="I360" s="2"/>
      <c r="J360" s="72"/>
      <c r="K360" s="59"/>
      <c r="M360" s="68"/>
      <c r="O360" s="2"/>
      <c r="P360" s="2"/>
      <c r="Q360" s="2"/>
      <c r="R360" s="2"/>
      <c r="S360" s="2"/>
    </row>
    <row r="361" spans="1:19" s="1" customFormat="1" ht="20.100000000000001" customHeight="1" x14ac:dyDescent="0.25">
      <c r="A361" s="68"/>
      <c r="F361" s="68"/>
      <c r="H361" s="2"/>
      <c r="I361" s="2"/>
      <c r="J361" s="72"/>
      <c r="K361" s="59"/>
      <c r="M361" s="68"/>
      <c r="O361" s="2"/>
      <c r="P361" s="2"/>
      <c r="Q361" s="2"/>
      <c r="R361" s="2"/>
      <c r="S361" s="2"/>
    </row>
    <row r="362" spans="1:19" s="1" customFormat="1" ht="20.100000000000001" customHeight="1" x14ac:dyDescent="0.25">
      <c r="A362" s="68"/>
      <c r="F362" s="68"/>
      <c r="H362" s="2"/>
      <c r="I362" s="2"/>
      <c r="J362" s="72"/>
      <c r="K362" s="59"/>
      <c r="M362" s="68"/>
      <c r="O362" s="2"/>
      <c r="P362" s="2"/>
      <c r="Q362" s="2"/>
      <c r="R362" s="2"/>
      <c r="S362" s="2"/>
    </row>
    <row r="363" spans="1:19" s="1" customFormat="1" ht="20.100000000000001" customHeight="1" x14ac:dyDescent="0.25">
      <c r="A363" s="68"/>
      <c r="F363" s="68"/>
      <c r="H363" s="2"/>
      <c r="I363" s="2"/>
      <c r="J363" s="72"/>
      <c r="K363" s="59"/>
      <c r="M363" s="68"/>
      <c r="O363" s="2"/>
      <c r="P363" s="2"/>
      <c r="Q363" s="2"/>
      <c r="R363" s="2"/>
      <c r="S363" s="2"/>
    </row>
    <row r="364" spans="1:19" s="1" customFormat="1" ht="20.100000000000001" customHeight="1" x14ac:dyDescent="0.25">
      <c r="A364" s="68"/>
      <c r="F364" s="68"/>
      <c r="H364" s="2"/>
      <c r="I364" s="2"/>
      <c r="J364" s="72"/>
      <c r="K364" s="59"/>
      <c r="M364" s="68"/>
      <c r="O364" s="2"/>
      <c r="P364" s="2"/>
      <c r="Q364" s="2"/>
      <c r="R364" s="2"/>
      <c r="S364" s="2"/>
    </row>
    <row r="365" spans="1:19" s="1" customFormat="1" ht="20.100000000000001" customHeight="1" x14ac:dyDescent="0.25">
      <c r="A365" s="68"/>
      <c r="F365" s="68"/>
      <c r="H365" s="2"/>
      <c r="I365" s="2"/>
      <c r="J365" s="72"/>
      <c r="K365" s="59"/>
      <c r="M365" s="68"/>
      <c r="O365" s="2"/>
      <c r="P365" s="2"/>
      <c r="Q365" s="2"/>
      <c r="R365" s="2"/>
      <c r="S365" s="2"/>
    </row>
    <row r="366" spans="1:19" s="1" customFormat="1" ht="20.100000000000001" customHeight="1" x14ac:dyDescent="0.25">
      <c r="A366" s="68"/>
      <c r="F366" s="68"/>
      <c r="H366" s="2"/>
      <c r="I366" s="2"/>
      <c r="J366" s="72"/>
      <c r="K366" s="59"/>
      <c r="M366" s="68"/>
      <c r="O366" s="2"/>
      <c r="P366" s="2"/>
      <c r="Q366" s="2"/>
      <c r="R366" s="2"/>
      <c r="S366" s="2"/>
    </row>
    <row r="367" spans="1:19" s="1" customFormat="1" ht="20.100000000000001" customHeight="1" x14ac:dyDescent="0.25">
      <c r="A367" s="68"/>
      <c r="F367" s="68"/>
      <c r="H367" s="2"/>
      <c r="I367" s="2"/>
      <c r="J367" s="72"/>
      <c r="K367" s="59"/>
      <c r="M367" s="68"/>
      <c r="O367" s="2"/>
      <c r="P367" s="2"/>
      <c r="Q367" s="2"/>
      <c r="R367" s="2"/>
      <c r="S367" s="2"/>
    </row>
    <row r="368" spans="1:19" s="1" customFormat="1" ht="20.100000000000001" customHeight="1" x14ac:dyDescent="0.25">
      <c r="A368" s="68"/>
      <c r="F368" s="68"/>
      <c r="H368" s="2"/>
      <c r="I368" s="2"/>
      <c r="J368" s="72"/>
      <c r="K368" s="59"/>
      <c r="M368" s="68"/>
      <c r="O368" s="2"/>
      <c r="P368" s="2"/>
      <c r="Q368" s="2"/>
      <c r="R368" s="2"/>
      <c r="S368" s="2"/>
    </row>
    <row r="369" spans="1:19" s="1" customFormat="1" ht="20.100000000000001" customHeight="1" x14ac:dyDescent="0.25">
      <c r="A369" s="68"/>
      <c r="F369" s="68"/>
      <c r="H369" s="2"/>
      <c r="I369" s="2"/>
      <c r="J369" s="72"/>
      <c r="K369" s="59"/>
      <c r="M369" s="68"/>
      <c r="O369" s="2"/>
      <c r="P369" s="2"/>
      <c r="Q369" s="2"/>
      <c r="R369" s="2"/>
      <c r="S369" s="2"/>
    </row>
    <row r="370" spans="1:19" s="1" customFormat="1" ht="20.100000000000001" customHeight="1" x14ac:dyDescent="0.25">
      <c r="A370" s="68"/>
      <c r="F370" s="68"/>
      <c r="H370" s="2"/>
      <c r="I370" s="2"/>
      <c r="J370" s="72"/>
      <c r="K370" s="59"/>
      <c r="M370" s="68"/>
      <c r="O370" s="2"/>
      <c r="P370" s="2"/>
      <c r="Q370" s="2"/>
      <c r="R370" s="2"/>
      <c r="S370" s="2"/>
    </row>
    <row r="371" spans="1:19" s="1" customFormat="1" ht="20.100000000000001" customHeight="1" x14ac:dyDescent="0.25">
      <c r="A371" s="68"/>
      <c r="F371" s="68"/>
      <c r="H371" s="2"/>
      <c r="I371" s="2"/>
      <c r="J371" s="72"/>
      <c r="K371" s="59"/>
      <c r="M371" s="68"/>
      <c r="O371" s="2"/>
      <c r="P371" s="2"/>
      <c r="Q371" s="2"/>
      <c r="R371" s="2"/>
      <c r="S371" s="2"/>
    </row>
    <row r="372" spans="1:19" s="1" customFormat="1" ht="20.100000000000001" customHeight="1" x14ac:dyDescent="0.25">
      <c r="A372" s="68"/>
      <c r="F372" s="68"/>
      <c r="H372" s="2"/>
      <c r="I372" s="2"/>
      <c r="J372" s="72"/>
      <c r="K372" s="59"/>
      <c r="M372" s="68"/>
      <c r="O372" s="2"/>
      <c r="P372" s="2"/>
      <c r="Q372" s="2"/>
      <c r="R372" s="2"/>
      <c r="S372" s="2"/>
    </row>
    <row r="373" spans="1:19" s="1" customFormat="1" ht="20.100000000000001" customHeight="1" x14ac:dyDescent="0.25">
      <c r="A373" s="68"/>
      <c r="F373" s="68"/>
      <c r="H373" s="2"/>
      <c r="I373" s="2"/>
      <c r="J373" s="72"/>
      <c r="K373" s="59"/>
      <c r="M373" s="68"/>
      <c r="O373" s="2"/>
      <c r="P373" s="2"/>
      <c r="Q373" s="2"/>
      <c r="R373" s="2"/>
      <c r="S373" s="2"/>
    </row>
    <row r="374" spans="1:19" s="1" customFormat="1" ht="20.100000000000001" customHeight="1" x14ac:dyDescent="0.25">
      <c r="A374" s="68"/>
      <c r="F374" s="68"/>
      <c r="H374" s="2"/>
      <c r="I374" s="2"/>
      <c r="J374" s="72"/>
      <c r="K374" s="59"/>
      <c r="M374" s="68"/>
      <c r="O374" s="2"/>
      <c r="P374" s="2"/>
      <c r="Q374" s="2"/>
      <c r="R374" s="2"/>
      <c r="S374" s="2"/>
    </row>
    <row r="375" spans="1:19" s="1" customFormat="1" ht="20.100000000000001" customHeight="1" x14ac:dyDescent="0.25">
      <c r="A375" s="68"/>
      <c r="F375" s="68"/>
      <c r="H375" s="2"/>
      <c r="I375" s="2"/>
      <c r="J375" s="72"/>
      <c r="K375" s="59"/>
      <c r="M375" s="68"/>
      <c r="O375" s="2"/>
      <c r="P375" s="2"/>
      <c r="Q375" s="2"/>
      <c r="R375" s="2"/>
      <c r="S375" s="2"/>
    </row>
    <row r="376" spans="1:19" s="1" customFormat="1" ht="20.100000000000001" customHeight="1" x14ac:dyDescent="0.25">
      <c r="A376" s="68"/>
      <c r="F376" s="68"/>
      <c r="H376" s="2"/>
      <c r="I376" s="2"/>
      <c r="J376" s="72"/>
      <c r="K376" s="59"/>
      <c r="M376" s="68"/>
      <c r="O376" s="2"/>
      <c r="P376" s="2"/>
      <c r="Q376" s="2"/>
      <c r="R376" s="2"/>
      <c r="S376" s="2"/>
    </row>
    <row r="377" spans="1:19" s="1" customFormat="1" ht="20.100000000000001" customHeight="1" x14ac:dyDescent="0.25">
      <c r="A377" s="68"/>
      <c r="F377" s="68"/>
      <c r="H377" s="2"/>
      <c r="I377" s="2"/>
      <c r="J377" s="72"/>
      <c r="K377" s="59"/>
      <c r="M377" s="68"/>
      <c r="O377" s="2"/>
      <c r="P377" s="2"/>
      <c r="Q377" s="2"/>
      <c r="R377" s="2"/>
      <c r="S377" s="2"/>
    </row>
    <row r="378" spans="1:19" s="1" customFormat="1" ht="20.100000000000001" customHeight="1" x14ac:dyDescent="0.25">
      <c r="A378" s="68"/>
      <c r="F378" s="68"/>
      <c r="H378" s="2"/>
      <c r="I378" s="2"/>
      <c r="J378" s="72"/>
      <c r="K378" s="59"/>
      <c r="M378" s="68"/>
      <c r="O378" s="2"/>
      <c r="P378" s="2"/>
      <c r="Q378" s="2"/>
      <c r="R378" s="2"/>
      <c r="S378" s="2"/>
    </row>
    <row r="379" spans="1:19" s="1" customFormat="1" ht="20.100000000000001" customHeight="1" x14ac:dyDescent="0.25">
      <c r="A379" s="68"/>
      <c r="F379" s="68"/>
      <c r="H379" s="2"/>
      <c r="I379" s="2"/>
      <c r="J379" s="72"/>
      <c r="K379" s="59"/>
      <c r="M379" s="68"/>
      <c r="O379" s="2"/>
      <c r="P379" s="2"/>
      <c r="Q379" s="2"/>
      <c r="R379" s="2"/>
      <c r="S379" s="2"/>
    </row>
    <row r="380" spans="1:19" s="1" customFormat="1" ht="20.100000000000001" customHeight="1" x14ac:dyDescent="0.25">
      <c r="A380" s="68"/>
      <c r="F380" s="68"/>
      <c r="H380" s="2"/>
      <c r="I380" s="2"/>
      <c r="J380" s="72"/>
      <c r="K380" s="59"/>
      <c r="M380" s="68"/>
      <c r="O380" s="2"/>
      <c r="P380" s="2"/>
      <c r="Q380" s="2"/>
      <c r="R380" s="2"/>
      <c r="S380" s="2"/>
    </row>
    <row r="381" spans="1:19" s="1" customFormat="1" ht="20.100000000000001" customHeight="1" x14ac:dyDescent="0.25">
      <c r="A381" s="68"/>
      <c r="F381" s="68"/>
      <c r="H381" s="2"/>
      <c r="I381" s="2"/>
      <c r="J381" s="72"/>
      <c r="K381" s="59"/>
      <c r="M381" s="68"/>
      <c r="O381" s="2"/>
      <c r="P381" s="2"/>
      <c r="Q381" s="2"/>
      <c r="R381" s="2"/>
      <c r="S381" s="2"/>
    </row>
    <row r="382" spans="1:19" s="1" customFormat="1" ht="20.100000000000001" customHeight="1" x14ac:dyDescent="0.25">
      <c r="A382" s="68"/>
      <c r="F382" s="68"/>
      <c r="H382" s="2"/>
      <c r="I382" s="2"/>
      <c r="J382" s="72"/>
      <c r="K382" s="59"/>
      <c r="M382" s="68"/>
      <c r="O382" s="2"/>
      <c r="P382" s="2"/>
      <c r="Q382" s="2"/>
      <c r="R382" s="2"/>
      <c r="S382" s="2"/>
    </row>
    <row r="383" spans="1:19" s="1" customFormat="1" ht="20.100000000000001" customHeight="1" x14ac:dyDescent="0.25">
      <c r="A383" s="68"/>
      <c r="F383" s="68"/>
      <c r="H383" s="2"/>
      <c r="I383" s="2"/>
      <c r="J383" s="72"/>
      <c r="K383" s="59"/>
      <c r="M383" s="68"/>
      <c r="O383" s="2"/>
      <c r="P383" s="2"/>
      <c r="Q383" s="2"/>
      <c r="R383" s="2"/>
      <c r="S383" s="2"/>
    </row>
    <row r="384" spans="1:19" s="1" customFormat="1" ht="20.100000000000001" customHeight="1" x14ac:dyDescent="0.25">
      <c r="A384" s="68"/>
      <c r="F384" s="68"/>
      <c r="H384" s="2"/>
      <c r="I384" s="2"/>
      <c r="J384" s="72"/>
      <c r="K384" s="59"/>
      <c r="M384" s="68"/>
      <c r="O384" s="2"/>
      <c r="P384" s="2"/>
      <c r="Q384" s="2"/>
      <c r="R384" s="2"/>
      <c r="S384" s="2"/>
    </row>
    <row r="385" spans="1:19" s="1" customFormat="1" ht="20.100000000000001" customHeight="1" x14ac:dyDescent="0.25">
      <c r="A385" s="68"/>
      <c r="F385" s="68"/>
      <c r="H385" s="2"/>
      <c r="I385" s="2"/>
      <c r="J385" s="72"/>
      <c r="K385" s="59"/>
      <c r="M385" s="68"/>
      <c r="O385" s="2"/>
      <c r="P385" s="2"/>
      <c r="Q385" s="2"/>
      <c r="R385" s="2"/>
      <c r="S385" s="2"/>
    </row>
    <row r="386" spans="1:19" s="1" customFormat="1" ht="20.100000000000001" customHeight="1" x14ac:dyDescent="0.25">
      <c r="A386" s="68"/>
      <c r="F386" s="68"/>
      <c r="H386" s="2"/>
      <c r="I386" s="2"/>
      <c r="J386" s="72"/>
      <c r="K386" s="59"/>
      <c r="M386" s="68"/>
      <c r="O386" s="2"/>
      <c r="P386" s="2"/>
      <c r="Q386" s="2"/>
      <c r="R386" s="2"/>
      <c r="S386" s="2"/>
    </row>
    <row r="387" spans="1:19" s="1" customFormat="1" ht="20.100000000000001" customHeight="1" x14ac:dyDescent="0.25">
      <c r="A387" s="68"/>
      <c r="F387" s="68"/>
      <c r="H387" s="2"/>
      <c r="I387" s="2"/>
      <c r="J387" s="72"/>
      <c r="K387" s="59"/>
      <c r="M387" s="68"/>
      <c r="O387" s="2"/>
      <c r="P387" s="2"/>
      <c r="Q387" s="2"/>
      <c r="R387" s="2"/>
      <c r="S387" s="2"/>
    </row>
    <row r="388" spans="1:19" s="1" customFormat="1" ht="20.100000000000001" customHeight="1" x14ac:dyDescent="0.25">
      <c r="A388" s="68"/>
      <c r="F388" s="68"/>
      <c r="H388" s="2"/>
      <c r="I388" s="2"/>
      <c r="J388" s="72"/>
      <c r="K388" s="59"/>
      <c r="M388" s="68"/>
      <c r="O388" s="2"/>
      <c r="P388" s="2"/>
      <c r="Q388" s="2"/>
      <c r="R388" s="2"/>
      <c r="S388" s="2"/>
    </row>
    <row r="389" spans="1:19" s="1" customFormat="1" ht="20.100000000000001" customHeight="1" x14ac:dyDescent="0.25">
      <c r="A389" s="68"/>
      <c r="F389" s="68"/>
      <c r="H389" s="2"/>
      <c r="I389" s="2"/>
      <c r="J389" s="72"/>
      <c r="K389" s="59"/>
      <c r="M389" s="68"/>
      <c r="O389" s="2"/>
      <c r="P389" s="2"/>
      <c r="Q389" s="2"/>
      <c r="R389" s="2"/>
      <c r="S389" s="2"/>
    </row>
    <row r="390" spans="1:19" s="1" customFormat="1" ht="20.100000000000001" customHeight="1" x14ac:dyDescent="0.25">
      <c r="A390" s="68"/>
      <c r="F390" s="68"/>
      <c r="H390" s="2"/>
      <c r="I390" s="2"/>
      <c r="J390" s="72"/>
      <c r="K390" s="59"/>
      <c r="M390" s="68"/>
      <c r="O390" s="2"/>
      <c r="P390" s="2"/>
      <c r="Q390" s="2"/>
      <c r="R390" s="2"/>
      <c r="S390" s="2"/>
    </row>
    <row r="391" spans="1:19" s="1" customFormat="1" ht="20.100000000000001" customHeight="1" x14ac:dyDescent="0.25">
      <c r="A391" s="68"/>
      <c r="F391" s="68"/>
      <c r="H391" s="2"/>
      <c r="I391" s="2"/>
      <c r="J391" s="72"/>
      <c r="K391" s="59"/>
      <c r="M391" s="68"/>
      <c r="O391" s="2"/>
      <c r="P391" s="2"/>
      <c r="Q391" s="2"/>
      <c r="R391" s="2"/>
      <c r="S391" s="2"/>
    </row>
    <row r="392" spans="1:19" s="1" customFormat="1" ht="20.100000000000001" customHeight="1" x14ac:dyDescent="0.25">
      <c r="A392" s="68"/>
      <c r="F392" s="68"/>
      <c r="H392" s="2"/>
      <c r="I392" s="2"/>
      <c r="J392" s="72"/>
      <c r="K392" s="59"/>
      <c r="M392" s="68"/>
      <c r="O392" s="2"/>
      <c r="P392" s="2"/>
      <c r="Q392" s="2"/>
      <c r="R392" s="2"/>
      <c r="S392" s="2"/>
    </row>
    <row r="393" spans="1:19" s="1" customFormat="1" ht="20.100000000000001" customHeight="1" x14ac:dyDescent="0.25">
      <c r="A393" s="68"/>
      <c r="F393" s="68"/>
      <c r="H393" s="2"/>
      <c r="I393" s="2"/>
      <c r="J393" s="72"/>
      <c r="K393" s="59"/>
      <c r="M393" s="68"/>
      <c r="O393" s="2"/>
      <c r="P393" s="2"/>
      <c r="Q393" s="2"/>
      <c r="R393" s="2"/>
      <c r="S393" s="2"/>
    </row>
    <row r="394" spans="1:19" s="1" customFormat="1" ht="20.100000000000001" customHeight="1" x14ac:dyDescent="0.25">
      <c r="A394" s="68"/>
      <c r="F394" s="68"/>
      <c r="H394" s="2"/>
      <c r="I394" s="2"/>
      <c r="J394" s="72"/>
      <c r="K394" s="59"/>
      <c r="M394" s="68"/>
      <c r="O394" s="2"/>
      <c r="P394" s="2"/>
      <c r="Q394" s="2"/>
      <c r="R394" s="2"/>
      <c r="S394" s="2"/>
    </row>
    <row r="395" spans="1:19" s="1" customFormat="1" ht="20.100000000000001" customHeight="1" x14ac:dyDescent="0.25">
      <c r="A395" s="68"/>
      <c r="F395" s="68"/>
      <c r="H395" s="2"/>
      <c r="I395" s="2"/>
      <c r="J395" s="72"/>
      <c r="K395" s="59"/>
      <c r="M395" s="68"/>
      <c r="O395" s="2"/>
      <c r="P395" s="2"/>
      <c r="Q395" s="2"/>
      <c r="R395" s="2"/>
      <c r="S395" s="2"/>
    </row>
    <row r="396" spans="1:19" s="1" customFormat="1" ht="20.100000000000001" customHeight="1" x14ac:dyDescent="0.25">
      <c r="A396" s="68"/>
      <c r="F396" s="68"/>
      <c r="H396" s="2"/>
      <c r="I396" s="2"/>
      <c r="J396" s="72"/>
      <c r="K396" s="59"/>
      <c r="M396" s="68"/>
      <c r="O396" s="2"/>
      <c r="P396" s="2"/>
      <c r="Q396" s="2"/>
      <c r="R396" s="2"/>
      <c r="S396" s="2"/>
    </row>
    <row r="397" spans="1:19" s="1" customFormat="1" ht="20.100000000000001" customHeight="1" x14ac:dyDescent="0.25">
      <c r="A397" s="68"/>
      <c r="F397" s="68"/>
      <c r="H397" s="2"/>
      <c r="I397" s="2"/>
      <c r="J397" s="72"/>
      <c r="K397" s="59"/>
      <c r="M397" s="68"/>
      <c r="O397" s="2"/>
      <c r="P397" s="2"/>
      <c r="Q397" s="2"/>
      <c r="R397" s="2"/>
      <c r="S397" s="2"/>
    </row>
    <row r="398" spans="1:19" s="1" customFormat="1" ht="20.100000000000001" customHeight="1" x14ac:dyDescent="0.25">
      <c r="A398" s="68"/>
      <c r="F398" s="68"/>
      <c r="H398" s="2"/>
      <c r="I398" s="2"/>
      <c r="J398" s="72"/>
      <c r="K398" s="59"/>
      <c r="M398" s="68"/>
      <c r="O398" s="2"/>
      <c r="P398" s="2"/>
      <c r="Q398" s="2"/>
      <c r="R398" s="2"/>
      <c r="S398" s="2"/>
    </row>
    <row r="399" spans="1:19" s="1" customFormat="1" ht="20.100000000000001" customHeight="1" x14ac:dyDescent="0.25">
      <c r="A399" s="68"/>
      <c r="F399" s="68"/>
      <c r="H399" s="2"/>
      <c r="I399" s="2"/>
      <c r="J399" s="72"/>
      <c r="K399" s="59"/>
      <c r="M399" s="68"/>
      <c r="O399" s="2"/>
      <c r="P399" s="2"/>
      <c r="Q399" s="2"/>
      <c r="R399" s="2"/>
      <c r="S399" s="2"/>
    </row>
    <row r="400" spans="1:19" s="1" customFormat="1" ht="20.100000000000001" customHeight="1" x14ac:dyDescent="0.25">
      <c r="A400" s="68"/>
      <c r="F400" s="68"/>
      <c r="H400" s="2"/>
      <c r="I400" s="2"/>
      <c r="J400" s="72"/>
      <c r="K400" s="59"/>
      <c r="M400" s="68"/>
      <c r="O400" s="2"/>
      <c r="P400" s="2"/>
      <c r="Q400" s="2"/>
      <c r="R400" s="2"/>
      <c r="S400" s="2"/>
    </row>
    <row r="401" spans="1:19" s="1" customFormat="1" ht="20.100000000000001" customHeight="1" x14ac:dyDescent="0.25">
      <c r="A401" s="68"/>
      <c r="F401" s="68"/>
      <c r="H401" s="2"/>
      <c r="I401" s="2"/>
      <c r="J401" s="72"/>
      <c r="K401" s="59"/>
      <c r="M401" s="68"/>
      <c r="O401" s="2"/>
      <c r="P401" s="2"/>
      <c r="Q401" s="2"/>
      <c r="R401" s="2"/>
      <c r="S401" s="2"/>
    </row>
    <row r="402" spans="1:19" s="1" customFormat="1" ht="20.100000000000001" customHeight="1" x14ac:dyDescent="0.25">
      <c r="A402" s="68"/>
      <c r="F402" s="68"/>
      <c r="H402" s="2"/>
      <c r="I402" s="2"/>
      <c r="J402" s="72"/>
      <c r="K402" s="59"/>
      <c r="M402" s="68"/>
      <c r="O402" s="2"/>
      <c r="P402" s="2"/>
      <c r="Q402" s="2"/>
      <c r="R402" s="2"/>
      <c r="S402" s="2"/>
    </row>
    <row r="403" spans="1:19" s="1" customFormat="1" ht="20.100000000000001" customHeight="1" x14ac:dyDescent="0.25">
      <c r="A403" s="68"/>
      <c r="F403" s="68"/>
      <c r="H403" s="2"/>
      <c r="I403" s="2"/>
      <c r="J403" s="72"/>
      <c r="K403" s="59"/>
      <c r="M403" s="68"/>
      <c r="O403" s="2"/>
      <c r="P403" s="2"/>
      <c r="Q403" s="2"/>
      <c r="R403" s="2"/>
      <c r="S403" s="2"/>
    </row>
    <row r="404" spans="1:19" s="1" customFormat="1" ht="20.100000000000001" customHeight="1" x14ac:dyDescent="0.25">
      <c r="A404" s="68"/>
      <c r="F404" s="68"/>
      <c r="H404" s="2"/>
      <c r="I404" s="2"/>
      <c r="J404" s="72"/>
      <c r="K404" s="59"/>
      <c r="M404" s="68"/>
      <c r="O404" s="2"/>
      <c r="P404" s="2"/>
      <c r="Q404" s="2"/>
      <c r="R404" s="2"/>
      <c r="S404" s="2"/>
    </row>
    <row r="405" spans="1:19" s="1" customFormat="1" ht="20.100000000000001" customHeight="1" x14ac:dyDescent="0.25">
      <c r="A405" s="68"/>
      <c r="F405" s="68"/>
      <c r="H405" s="2"/>
      <c r="I405" s="2"/>
      <c r="J405" s="72"/>
      <c r="K405" s="59"/>
      <c r="M405" s="68"/>
      <c r="O405" s="2"/>
      <c r="P405" s="2"/>
      <c r="Q405" s="2"/>
      <c r="R405" s="2"/>
      <c r="S405" s="2"/>
    </row>
    <row r="406" spans="1:19" s="1" customFormat="1" ht="20.100000000000001" customHeight="1" x14ac:dyDescent="0.25">
      <c r="A406" s="68"/>
      <c r="F406" s="68"/>
      <c r="H406" s="2"/>
      <c r="I406" s="2"/>
      <c r="J406" s="72"/>
      <c r="K406" s="59"/>
      <c r="M406" s="68"/>
      <c r="O406" s="2"/>
      <c r="P406" s="2"/>
      <c r="Q406" s="2"/>
      <c r="R406" s="2"/>
      <c r="S406" s="2"/>
    </row>
    <row r="407" spans="1:19" s="1" customFormat="1" ht="20.100000000000001" customHeight="1" x14ac:dyDescent="0.25">
      <c r="A407" s="68"/>
      <c r="F407" s="68"/>
      <c r="H407" s="2"/>
      <c r="I407" s="2"/>
      <c r="J407" s="72"/>
      <c r="K407" s="59"/>
      <c r="M407" s="68"/>
      <c r="O407" s="2"/>
      <c r="P407" s="2"/>
      <c r="Q407" s="2"/>
      <c r="R407" s="2"/>
      <c r="S407" s="2"/>
    </row>
    <row r="408" spans="1:19" s="1" customFormat="1" ht="20.100000000000001" customHeight="1" x14ac:dyDescent="0.25">
      <c r="A408" s="68"/>
      <c r="F408" s="68"/>
      <c r="H408" s="2"/>
      <c r="I408" s="2"/>
      <c r="J408" s="72"/>
      <c r="K408" s="59"/>
      <c r="M408" s="68"/>
      <c r="O408" s="2"/>
      <c r="P408" s="2"/>
      <c r="Q408" s="2"/>
      <c r="R408" s="2"/>
      <c r="S408" s="2"/>
    </row>
    <row r="409" spans="1:19" s="1" customFormat="1" ht="20.100000000000001" customHeight="1" x14ac:dyDescent="0.25">
      <c r="A409" s="68"/>
      <c r="F409" s="68"/>
      <c r="H409" s="2"/>
      <c r="I409" s="2"/>
      <c r="J409" s="72"/>
      <c r="K409" s="59"/>
      <c r="M409" s="68"/>
      <c r="O409" s="2"/>
      <c r="P409" s="2"/>
      <c r="Q409" s="2"/>
      <c r="R409" s="2"/>
      <c r="S409" s="2"/>
    </row>
    <row r="410" spans="1:19" s="1" customFormat="1" ht="20.100000000000001" customHeight="1" x14ac:dyDescent="0.25">
      <c r="A410" s="68"/>
      <c r="F410" s="68"/>
      <c r="H410" s="2"/>
      <c r="I410" s="2"/>
      <c r="J410" s="72"/>
      <c r="K410" s="59"/>
      <c r="M410" s="68"/>
      <c r="O410" s="2"/>
      <c r="P410" s="2"/>
      <c r="Q410" s="2"/>
      <c r="R410" s="2"/>
      <c r="S410" s="2"/>
    </row>
    <row r="411" spans="1:19" s="1" customFormat="1" ht="20.100000000000001" customHeight="1" x14ac:dyDescent="0.25">
      <c r="A411" s="68"/>
      <c r="F411" s="68"/>
      <c r="H411" s="2"/>
      <c r="I411" s="2"/>
      <c r="J411" s="72"/>
      <c r="K411" s="59"/>
      <c r="M411" s="68"/>
      <c r="O411" s="2"/>
      <c r="P411" s="2"/>
      <c r="Q411" s="2"/>
      <c r="R411" s="2"/>
      <c r="S411" s="2"/>
    </row>
    <row r="412" spans="1:19" s="1" customFormat="1" ht="20.100000000000001" customHeight="1" x14ac:dyDescent="0.25">
      <c r="A412" s="68"/>
      <c r="F412" s="68"/>
      <c r="H412" s="2"/>
      <c r="I412" s="2"/>
      <c r="J412" s="72"/>
      <c r="K412" s="59"/>
      <c r="M412" s="68"/>
      <c r="O412" s="2"/>
      <c r="P412" s="2"/>
      <c r="Q412" s="2"/>
      <c r="R412" s="2"/>
      <c r="S412" s="2"/>
    </row>
    <row r="413" spans="1:19" s="1" customFormat="1" ht="20.100000000000001" customHeight="1" x14ac:dyDescent="0.25">
      <c r="A413" s="68"/>
      <c r="F413" s="68"/>
      <c r="H413" s="2"/>
      <c r="I413" s="2"/>
      <c r="J413" s="72"/>
      <c r="K413" s="59"/>
      <c r="M413" s="68"/>
      <c r="O413" s="2"/>
      <c r="P413" s="2"/>
      <c r="Q413" s="2"/>
      <c r="R413" s="2"/>
      <c r="S413" s="2"/>
    </row>
    <row r="414" spans="1:19" s="1" customFormat="1" ht="20.100000000000001" customHeight="1" x14ac:dyDescent="0.25">
      <c r="A414" s="68"/>
      <c r="F414" s="68"/>
      <c r="H414" s="2"/>
      <c r="I414" s="2"/>
      <c r="J414" s="72"/>
      <c r="K414" s="59"/>
      <c r="M414" s="68"/>
      <c r="O414" s="2"/>
      <c r="P414" s="2"/>
      <c r="Q414" s="2"/>
      <c r="R414" s="2"/>
      <c r="S414" s="2"/>
    </row>
    <row r="415" spans="1:19" s="1" customFormat="1" ht="20.100000000000001" customHeight="1" x14ac:dyDescent="0.25">
      <c r="A415" s="68"/>
      <c r="F415" s="68"/>
      <c r="H415" s="2"/>
      <c r="I415" s="2"/>
      <c r="J415" s="72"/>
      <c r="K415" s="59"/>
      <c r="M415" s="68"/>
      <c r="O415" s="2"/>
      <c r="P415" s="2"/>
      <c r="Q415" s="2"/>
      <c r="R415" s="2"/>
      <c r="S415" s="2"/>
    </row>
    <row r="416" spans="1:19" s="1" customFormat="1" ht="20.100000000000001" customHeight="1" x14ac:dyDescent="0.25">
      <c r="A416" s="68"/>
      <c r="F416" s="68"/>
      <c r="H416" s="2"/>
      <c r="I416" s="2"/>
      <c r="J416" s="72"/>
      <c r="K416" s="59"/>
      <c r="M416" s="68"/>
      <c r="O416" s="2"/>
      <c r="P416" s="2"/>
      <c r="Q416" s="2"/>
      <c r="R416" s="2"/>
      <c r="S416" s="2"/>
    </row>
    <row r="417" spans="1:19" s="1" customFormat="1" ht="20.100000000000001" customHeight="1" x14ac:dyDescent="0.25">
      <c r="A417" s="68"/>
      <c r="F417" s="68"/>
      <c r="H417" s="2"/>
      <c r="I417" s="2"/>
      <c r="J417" s="72"/>
      <c r="K417" s="59"/>
      <c r="M417" s="68"/>
      <c r="O417" s="2"/>
      <c r="P417" s="2"/>
      <c r="Q417" s="2"/>
      <c r="R417" s="2"/>
      <c r="S417" s="2"/>
    </row>
    <row r="418" spans="1:19" s="1" customFormat="1" ht="20.100000000000001" customHeight="1" x14ac:dyDescent="0.25">
      <c r="A418" s="68"/>
      <c r="F418" s="68"/>
      <c r="H418" s="2"/>
      <c r="I418" s="2"/>
      <c r="J418" s="72"/>
      <c r="K418" s="59"/>
      <c r="M418" s="68"/>
      <c r="O418" s="2"/>
      <c r="P418" s="2"/>
      <c r="Q418" s="2"/>
      <c r="R418" s="2"/>
      <c r="S418" s="2"/>
    </row>
    <row r="419" spans="1:19" s="1" customFormat="1" ht="20.100000000000001" customHeight="1" x14ac:dyDescent="0.25">
      <c r="A419" s="68"/>
      <c r="F419" s="68"/>
      <c r="H419" s="2"/>
      <c r="I419" s="2"/>
      <c r="J419" s="72"/>
      <c r="K419" s="59"/>
      <c r="M419" s="68"/>
      <c r="O419" s="2"/>
      <c r="P419" s="2"/>
      <c r="Q419" s="2"/>
      <c r="R419" s="2"/>
      <c r="S419" s="2"/>
    </row>
    <row r="420" spans="1:19" s="1" customFormat="1" ht="20.100000000000001" customHeight="1" x14ac:dyDescent="0.25">
      <c r="A420" s="68"/>
      <c r="F420" s="68"/>
      <c r="H420" s="2"/>
      <c r="I420" s="2"/>
      <c r="J420" s="72"/>
      <c r="K420" s="59"/>
      <c r="M420" s="68"/>
      <c r="O420" s="2"/>
      <c r="P420" s="2"/>
      <c r="Q420" s="2"/>
      <c r="R420" s="2"/>
      <c r="S420" s="2"/>
    </row>
    <row r="421" spans="1:19" s="1" customFormat="1" ht="20.100000000000001" customHeight="1" x14ac:dyDescent="0.25">
      <c r="A421" s="68"/>
      <c r="F421" s="68"/>
      <c r="H421" s="2"/>
      <c r="I421" s="2"/>
      <c r="J421" s="72"/>
      <c r="K421" s="59"/>
      <c r="M421" s="68"/>
      <c r="O421" s="2"/>
      <c r="P421" s="2"/>
      <c r="Q421" s="2"/>
      <c r="R421" s="2"/>
      <c r="S421" s="2"/>
    </row>
    <row r="422" spans="1:19" s="1" customFormat="1" ht="20.100000000000001" customHeight="1" x14ac:dyDescent="0.25">
      <c r="A422" s="68"/>
      <c r="F422" s="68"/>
      <c r="H422" s="2"/>
      <c r="I422" s="2"/>
      <c r="J422" s="72"/>
      <c r="K422" s="59"/>
      <c r="M422" s="68"/>
      <c r="O422" s="2"/>
      <c r="P422" s="2"/>
      <c r="Q422" s="2"/>
      <c r="R422" s="2"/>
      <c r="S422" s="2"/>
    </row>
    <row r="423" spans="1:19" s="1" customFormat="1" ht="20.100000000000001" customHeight="1" x14ac:dyDescent="0.25">
      <c r="A423" s="68"/>
      <c r="F423" s="68"/>
      <c r="H423" s="2"/>
      <c r="I423" s="2"/>
      <c r="J423" s="72"/>
      <c r="K423" s="59"/>
      <c r="M423" s="68"/>
      <c r="O423" s="2"/>
      <c r="P423" s="2"/>
      <c r="Q423" s="2"/>
      <c r="R423" s="2"/>
      <c r="S423" s="2"/>
    </row>
    <row r="424" spans="1:19" s="1" customFormat="1" ht="20.100000000000001" customHeight="1" x14ac:dyDescent="0.25">
      <c r="A424" s="68"/>
      <c r="F424" s="68"/>
      <c r="H424" s="2"/>
      <c r="I424" s="2"/>
      <c r="J424" s="72"/>
      <c r="K424" s="59"/>
      <c r="M424" s="68"/>
      <c r="O424" s="2"/>
      <c r="P424" s="2"/>
      <c r="Q424" s="2"/>
      <c r="R424" s="2"/>
      <c r="S424" s="2"/>
    </row>
    <row r="425" spans="1:19" s="1" customFormat="1" ht="20.100000000000001" customHeight="1" x14ac:dyDescent="0.25">
      <c r="A425" s="68"/>
      <c r="F425" s="68"/>
      <c r="H425" s="2"/>
      <c r="I425" s="2"/>
      <c r="J425" s="72"/>
      <c r="K425" s="59"/>
      <c r="M425" s="68"/>
      <c r="O425" s="2"/>
      <c r="P425" s="2"/>
      <c r="Q425" s="2"/>
      <c r="R425" s="2"/>
      <c r="S425" s="2"/>
    </row>
    <row r="426" spans="1:19" s="1" customFormat="1" ht="20.100000000000001" customHeight="1" x14ac:dyDescent="0.25">
      <c r="A426" s="68"/>
      <c r="F426" s="68"/>
      <c r="H426" s="2"/>
      <c r="I426" s="2"/>
      <c r="J426" s="72"/>
      <c r="K426" s="59"/>
      <c r="M426" s="68"/>
      <c r="O426" s="2"/>
      <c r="P426" s="2"/>
      <c r="Q426" s="2"/>
      <c r="R426" s="2"/>
      <c r="S426" s="2"/>
    </row>
    <row r="427" spans="1:19" s="1" customFormat="1" ht="20.100000000000001" customHeight="1" x14ac:dyDescent="0.25">
      <c r="A427" s="68"/>
      <c r="F427" s="68"/>
      <c r="H427" s="2"/>
      <c r="I427" s="2"/>
      <c r="J427" s="72"/>
      <c r="K427" s="59"/>
      <c r="M427" s="68"/>
      <c r="O427" s="2"/>
      <c r="P427" s="2"/>
      <c r="Q427" s="2"/>
      <c r="R427" s="2"/>
      <c r="S427" s="2"/>
    </row>
    <row r="428" spans="1:19" s="1" customFormat="1" ht="20.100000000000001" customHeight="1" x14ac:dyDescent="0.25">
      <c r="A428" s="68"/>
      <c r="F428" s="68"/>
      <c r="H428" s="2"/>
      <c r="I428" s="2"/>
      <c r="J428" s="72"/>
      <c r="K428" s="59"/>
      <c r="M428" s="68"/>
      <c r="O428" s="2"/>
      <c r="P428" s="2"/>
      <c r="Q428" s="2"/>
      <c r="R428" s="2"/>
      <c r="S428" s="2"/>
    </row>
    <row r="429" spans="1:19" s="1" customFormat="1" ht="20.100000000000001" customHeight="1" x14ac:dyDescent="0.25">
      <c r="A429" s="68"/>
      <c r="F429" s="68"/>
      <c r="H429" s="2"/>
      <c r="I429" s="2"/>
      <c r="J429" s="72"/>
      <c r="K429" s="59"/>
      <c r="M429" s="68"/>
      <c r="O429" s="2"/>
      <c r="P429" s="2"/>
      <c r="Q429" s="2"/>
      <c r="R429" s="2"/>
      <c r="S429" s="2"/>
    </row>
    <row r="430" spans="1:19" s="1" customFormat="1" ht="20.100000000000001" customHeight="1" x14ac:dyDescent="0.25">
      <c r="A430" s="68"/>
      <c r="F430" s="68"/>
      <c r="H430" s="2"/>
      <c r="I430" s="2"/>
      <c r="J430" s="72"/>
      <c r="K430" s="59"/>
      <c r="M430" s="68"/>
      <c r="O430" s="2"/>
      <c r="P430" s="2"/>
      <c r="Q430" s="2"/>
      <c r="R430" s="2"/>
      <c r="S430" s="2"/>
    </row>
    <row r="431" spans="1:19" s="1" customFormat="1" ht="20.100000000000001" customHeight="1" x14ac:dyDescent="0.25">
      <c r="A431" s="68"/>
      <c r="F431" s="68"/>
      <c r="H431" s="2"/>
      <c r="I431" s="2"/>
      <c r="J431" s="72"/>
      <c r="K431" s="59"/>
      <c r="M431" s="68"/>
      <c r="O431" s="2"/>
      <c r="P431" s="2"/>
      <c r="Q431" s="2"/>
      <c r="R431" s="2"/>
      <c r="S431" s="2"/>
    </row>
    <row r="432" spans="1:19" s="1" customFormat="1" ht="20.100000000000001" customHeight="1" x14ac:dyDescent="0.25">
      <c r="A432" s="68"/>
      <c r="F432" s="68"/>
      <c r="H432" s="2"/>
      <c r="I432" s="2"/>
      <c r="J432" s="72"/>
      <c r="K432" s="59"/>
      <c r="M432" s="68"/>
      <c r="O432" s="2"/>
      <c r="P432" s="2"/>
      <c r="Q432" s="2"/>
      <c r="R432" s="2"/>
      <c r="S432" s="2"/>
    </row>
    <row r="433" spans="1:19" s="1" customFormat="1" ht="20.100000000000001" customHeight="1" x14ac:dyDescent="0.25">
      <c r="A433" s="68"/>
      <c r="F433" s="68"/>
      <c r="H433" s="2"/>
      <c r="I433" s="2"/>
      <c r="J433" s="72"/>
      <c r="K433" s="59"/>
      <c r="M433" s="68"/>
      <c r="O433" s="2"/>
      <c r="P433" s="2"/>
      <c r="Q433" s="2"/>
      <c r="R433" s="2"/>
      <c r="S433" s="2"/>
    </row>
    <row r="434" spans="1:19" s="1" customFormat="1" ht="20.100000000000001" customHeight="1" x14ac:dyDescent="0.25">
      <c r="A434" s="68"/>
      <c r="F434" s="68"/>
      <c r="H434" s="2"/>
      <c r="I434" s="2"/>
      <c r="J434" s="72"/>
      <c r="K434" s="59"/>
      <c r="M434" s="68"/>
      <c r="O434" s="2"/>
      <c r="P434" s="2"/>
      <c r="Q434" s="2"/>
      <c r="R434" s="2"/>
      <c r="S434" s="2"/>
    </row>
    <row r="435" spans="1:19" s="1" customFormat="1" ht="20.100000000000001" customHeight="1" x14ac:dyDescent="0.25">
      <c r="A435" s="68"/>
      <c r="F435" s="68"/>
      <c r="H435" s="2"/>
      <c r="I435" s="2"/>
      <c r="J435" s="72"/>
      <c r="K435" s="59"/>
      <c r="M435" s="68"/>
      <c r="O435" s="2"/>
      <c r="P435" s="2"/>
      <c r="Q435" s="2"/>
      <c r="R435" s="2"/>
      <c r="S435" s="2"/>
    </row>
    <row r="436" spans="1:19" s="1" customFormat="1" ht="20.100000000000001" customHeight="1" x14ac:dyDescent="0.25">
      <c r="A436" s="68"/>
      <c r="F436" s="68"/>
      <c r="H436" s="2"/>
      <c r="I436" s="2"/>
      <c r="J436" s="72"/>
      <c r="K436" s="59"/>
      <c r="M436" s="68"/>
      <c r="O436" s="2"/>
      <c r="P436" s="2"/>
      <c r="Q436" s="2"/>
      <c r="R436" s="2"/>
      <c r="S436" s="2"/>
    </row>
    <row r="437" spans="1:19" s="1" customFormat="1" ht="20.100000000000001" customHeight="1" x14ac:dyDescent="0.25">
      <c r="A437" s="68"/>
      <c r="F437" s="68"/>
      <c r="H437" s="2"/>
      <c r="I437" s="2"/>
      <c r="J437" s="72"/>
      <c r="K437" s="59"/>
      <c r="M437" s="68"/>
      <c r="O437" s="2"/>
      <c r="P437" s="2"/>
      <c r="Q437" s="2"/>
      <c r="R437" s="2"/>
      <c r="S437" s="2"/>
    </row>
    <row r="438" spans="1:19" s="1" customFormat="1" ht="20.100000000000001" customHeight="1" x14ac:dyDescent="0.25">
      <c r="A438" s="68"/>
      <c r="F438" s="68"/>
      <c r="H438" s="2"/>
      <c r="I438" s="2"/>
      <c r="J438" s="72"/>
      <c r="K438" s="59"/>
      <c r="M438" s="68"/>
      <c r="O438" s="2"/>
      <c r="P438" s="2"/>
      <c r="Q438" s="2"/>
      <c r="R438" s="2"/>
      <c r="S438" s="2"/>
    </row>
    <row r="439" spans="1:19" s="1" customFormat="1" ht="20.100000000000001" customHeight="1" x14ac:dyDescent="0.25">
      <c r="A439" s="68"/>
      <c r="F439" s="68"/>
      <c r="H439" s="2"/>
      <c r="I439" s="2"/>
      <c r="J439" s="72"/>
      <c r="K439" s="59"/>
      <c r="M439" s="68"/>
      <c r="O439" s="2"/>
      <c r="P439" s="2"/>
      <c r="Q439" s="2"/>
      <c r="R439" s="2"/>
      <c r="S439" s="2"/>
    </row>
    <row r="440" spans="1:19" s="1" customFormat="1" ht="20.100000000000001" customHeight="1" x14ac:dyDescent="0.25">
      <c r="A440" s="68"/>
      <c r="F440" s="68"/>
      <c r="H440" s="2"/>
      <c r="I440" s="2"/>
      <c r="J440" s="72"/>
      <c r="K440" s="59"/>
      <c r="M440" s="68"/>
      <c r="O440" s="2"/>
      <c r="P440" s="2"/>
      <c r="Q440" s="2"/>
      <c r="R440" s="2"/>
      <c r="S440" s="2"/>
    </row>
    <row r="441" spans="1:19" s="1" customFormat="1" ht="20.100000000000001" customHeight="1" x14ac:dyDescent="0.25">
      <c r="A441" s="68"/>
      <c r="F441" s="68"/>
      <c r="H441" s="2"/>
      <c r="I441" s="2"/>
      <c r="J441" s="72"/>
      <c r="K441" s="59"/>
      <c r="M441" s="68"/>
      <c r="O441" s="2"/>
      <c r="P441" s="2"/>
      <c r="Q441" s="2"/>
      <c r="R441" s="2"/>
      <c r="S441" s="2"/>
    </row>
    <row r="442" spans="1:19" s="1" customFormat="1" ht="20.100000000000001" customHeight="1" x14ac:dyDescent="0.25">
      <c r="A442" s="68"/>
      <c r="F442" s="68"/>
      <c r="H442" s="2"/>
      <c r="I442" s="2"/>
      <c r="J442" s="72"/>
      <c r="K442" s="59"/>
      <c r="M442" s="68"/>
      <c r="O442" s="2"/>
      <c r="P442" s="2"/>
      <c r="Q442" s="2"/>
      <c r="R442" s="2"/>
      <c r="S442" s="2"/>
    </row>
    <row r="443" spans="1:19" s="1" customFormat="1" ht="20.100000000000001" customHeight="1" x14ac:dyDescent="0.25">
      <c r="A443" s="68"/>
      <c r="F443" s="68"/>
      <c r="H443" s="2"/>
      <c r="I443" s="2"/>
      <c r="J443" s="72"/>
      <c r="K443" s="59"/>
      <c r="M443" s="68"/>
      <c r="O443" s="2"/>
      <c r="P443" s="2"/>
      <c r="Q443" s="2"/>
      <c r="R443" s="2"/>
      <c r="S443" s="2"/>
    </row>
    <row r="444" spans="1:19" s="1" customFormat="1" ht="20.100000000000001" customHeight="1" x14ac:dyDescent="0.25">
      <c r="A444" s="68"/>
      <c r="F444" s="68"/>
      <c r="H444" s="2"/>
      <c r="I444" s="2"/>
      <c r="J444" s="72"/>
      <c r="K444" s="59"/>
      <c r="M444" s="68"/>
      <c r="O444" s="2"/>
      <c r="P444" s="2"/>
      <c r="Q444" s="2"/>
      <c r="R444" s="2"/>
      <c r="S444" s="2"/>
    </row>
    <row r="445" spans="1:19" s="1" customFormat="1" ht="20.100000000000001" customHeight="1" x14ac:dyDescent="0.25">
      <c r="A445" s="68"/>
      <c r="F445" s="68"/>
      <c r="H445" s="2"/>
      <c r="I445" s="2"/>
      <c r="J445" s="72"/>
      <c r="K445" s="59"/>
      <c r="M445" s="68"/>
      <c r="O445" s="2"/>
      <c r="P445" s="2"/>
      <c r="Q445" s="2"/>
      <c r="R445" s="2"/>
      <c r="S445" s="2"/>
    </row>
    <row r="446" spans="1:19" s="1" customFormat="1" ht="20.100000000000001" customHeight="1" x14ac:dyDescent="0.25">
      <c r="A446" s="68"/>
      <c r="F446" s="68"/>
      <c r="H446" s="2"/>
      <c r="I446" s="2"/>
      <c r="J446" s="72"/>
      <c r="K446" s="59"/>
      <c r="M446" s="68"/>
      <c r="O446" s="2"/>
      <c r="P446" s="2"/>
      <c r="Q446" s="2"/>
      <c r="R446" s="2"/>
      <c r="S446" s="2"/>
    </row>
    <row r="447" spans="1:19" s="1" customFormat="1" ht="20.100000000000001" customHeight="1" x14ac:dyDescent="0.25">
      <c r="A447" s="68"/>
      <c r="F447" s="68"/>
      <c r="H447" s="2"/>
      <c r="I447" s="2"/>
      <c r="J447" s="72"/>
      <c r="K447" s="59"/>
      <c r="M447" s="68"/>
      <c r="O447" s="2"/>
      <c r="P447" s="2"/>
      <c r="Q447" s="2"/>
      <c r="R447" s="2"/>
      <c r="S447" s="2"/>
    </row>
    <row r="448" spans="1:19" s="1" customFormat="1" ht="20.100000000000001" customHeight="1" x14ac:dyDescent="0.25">
      <c r="A448" s="68"/>
      <c r="F448" s="68"/>
      <c r="H448" s="2"/>
      <c r="I448" s="2"/>
      <c r="J448" s="72"/>
      <c r="K448" s="59"/>
      <c r="M448" s="68"/>
      <c r="O448" s="2"/>
      <c r="P448" s="2"/>
      <c r="Q448" s="2"/>
      <c r="R448" s="2"/>
      <c r="S448" s="2"/>
    </row>
    <row r="449" spans="1:19" s="1" customFormat="1" ht="20.100000000000001" customHeight="1" x14ac:dyDescent="0.25">
      <c r="A449" s="68"/>
      <c r="F449" s="68"/>
      <c r="H449" s="2"/>
      <c r="I449" s="2"/>
      <c r="J449" s="72"/>
      <c r="K449" s="59"/>
      <c r="M449" s="68"/>
      <c r="O449" s="2"/>
      <c r="P449" s="2"/>
      <c r="Q449" s="2"/>
      <c r="R449" s="2"/>
      <c r="S449" s="2"/>
    </row>
    <row r="450" spans="1:19" s="1" customFormat="1" ht="20.100000000000001" customHeight="1" x14ac:dyDescent="0.25">
      <c r="A450" s="68"/>
      <c r="F450" s="68"/>
      <c r="H450" s="2"/>
      <c r="I450" s="2"/>
      <c r="J450" s="72"/>
      <c r="K450" s="59"/>
      <c r="M450" s="68"/>
      <c r="O450" s="2"/>
      <c r="P450" s="2"/>
      <c r="Q450" s="2"/>
      <c r="R450" s="2"/>
      <c r="S450" s="2"/>
    </row>
    <row r="451" spans="1:19" s="1" customFormat="1" ht="20.100000000000001" customHeight="1" x14ac:dyDescent="0.25">
      <c r="A451" s="68"/>
      <c r="F451" s="68"/>
      <c r="H451" s="2"/>
      <c r="I451" s="2"/>
      <c r="J451" s="72"/>
      <c r="K451" s="59"/>
      <c r="M451" s="68"/>
      <c r="O451" s="2"/>
      <c r="P451" s="2"/>
      <c r="Q451" s="2"/>
      <c r="R451" s="2"/>
      <c r="S451" s="2"/>
    </row>
    <row r="452" spans="1:19" s="1" customFormat="1" ht="20.100000000000001" customHeight="1" x14ac:dyDescent="0.25">
      <c r="A452" s="68"/>
      <c r="F452" s="68"/>
      <c r="H452" s="2"/>
      <c r="I452" s="2"/>
      <c r="J452" s="72"/>
      <c r="K452" s="59"/>
      <c r="M452" s="68"/>
      <c r="O452" s="2"/>
      <c r="P452" s="2"/>
      <c r="Q452" s="2"/>
      <c r="R452" s="2"/>
      <c r="S452" s="2"/>
    </row>
    <row r="453" spans="1:19" s="1" customFormat="1" ht="20.100000000000001" customHeight="1" x14ac:dyDescent="0.25">
      <c r="A453" s="68"/>
      <c r="F453" s="68"/>
      <c r="H453" s="2"/>
      <c r="I453" s="2"/>
      <c r="J453" s="72"/>
      <c r="K453" s="59"/>
      <c r="M453" s="68"/>
      <c r="O453" s="2"/>
      <c r="P453" s="2"/>
      <c r="Q453" s="2"/>
      <c r="R453" s="2"/>
      <c r="S453" s="2"/>
    </row>
    <row r="454" spans="1:19" s="1" customFormat="1" ht="20.100000000000001" customHeight="1" x14ac:dyDescent="0.25">
      <c r="A454" s="68"/>
      <c r="F454" s="68"/>
      <c r="H454" s="2"/>
      <c r="I454" s="2"/>
      <c r="J454" s="72"/>
      <c r="K454" s="59"/>
      <c r="M454" s="68"/>
      <c r="O454" s="2"/>
      <c r="P454" s="2"/>
      <c r="Q454" s="2"/>
      <c r="R454" s="2"/>
      <c r="S454" s="2"/>
    </row>
    <row r="455" spans="1:19" s="1" customFormat="1" ht="20.100000000000001" customHeight="1" x14ac:dyDescent="0.25">
      <c r="A455" s="68"/>
      <c r="F455" s="68"/>
      <c r="H455" s="2"/>
      <c r="I455" s="2"/>
      <c r="J455" s="72"/>
      <c r="K455" s="59"/>
      <c r="M455" s="68"/>
      <c r="O455" s="2"/>
      <c r="P455" s="2"/>
      <c r="Q455" s="2"/>
      <c r="R455" s="2"/>
      <c r="S455" s="2"/>
    </row>
    <row r="456" spans="1:19" s="1" customFormat="1" ht="20.100000000000001" customHeight="1" x14ac:dyDescent="0.25">
      <c r="A456" s="68"/>
      <c r="F456" s="68"/>
      <c r="H456" s="2"/>
      <c r="I456" s="2"/>
      <c r="J456" s="72"/>
      <c r="K456" s="59"/>
      <c r="M456" s="68"/>
      <c r="O456" s="2"/>
      <c r="P456" s="2"/>
      <c r="Q456" s="2"/>
      <c r="R456" s="2"/>
      <c r="S456" s="2"/>
    </row>
    <row r="457" spans="1:19" s="1" customFormat="1" ht="20.100000000000001" customHeight="1" x14ac:dyDescent="0.25">
      <c r="A457" s="68"/>
      <c r="F457" s="68"/>
      <c r="H457" s="2"/>
      <c r="I457" s="2"/>
      <c r="J457" s="72"/>
      <c r="K457" s="59"/>
      <c r="M457" s="68"/>
      <c r="O457" s="2"/>
      <c r="P457" s="2"/>
      <c r="Q457" s="2"/>
      <c r="R457" s="2"/>
      <c r="S457" s="2"/>
    </row>
    <row r="458" spans="1:19" s="1" customFormat="1" ht="20.100000000000001" customHeight="1" x14ac:dyDescent="0.25">
      <c r="A458" s="68"/>
      <c r="F458" s="68"/>
      <c r="H458" s="2"/>
      <c r="I458" s="2"/>
      <c r="J458" s="72"/>
      <c r="K458" s="59"/>
      <c r="M458" s="68"/>
      <c r="O458" s="2"/>
      <c r="P458" s="2"/>
      <c r="Q458" s="2"/>
      <c r="R458" s="2"/>
      <c r="S458" s="2"/>
    </row>
    <row r="459" spans="1:19" s="1" customFormat="1" ht="20.100000000000001" customHeight="1" x14ac:dyDescent="0.25">
      <c r="A459" s="68"/>
      <c r="F459" s="68"/>
      <c r="H459" s="2"/>
      <c r="I459" s="2"/>
      <c r="J459" s="72"/>
      <c r="K459" s="59"/>
      <c r="M459" s="68"/>
      <c r="O459" s="2"/>
      <c r="P459" s="2"/>
      <c r="Q459" s="2"/>
      <c r="R459" s="2"/>
      <c r="S459" s="2"/>
    </row>
    <row r="460" spans="1:19" s="1" customFormat="1" ht="20.100000000000001" customHeight="1" x14ac:dyDescent="0.25">
      <c r="A460" s="68"/>
      <c r="F460" s="68"/>
      <c r="H460" s="2"/>
      <c r="I460" s="2"/>
      <c r="J460" s="72"/>
      <c r="K460" s="59"/>
      <c r="M460" s="68"/>
      <c r="O460" s="2"/>
      <c r="P460" s="2"/>
      <c r="Q460" s="2"/>
      <c r="R460" s="2"/>
      <c r="S460" s="2"/>
    </row>
    <row r="461" spans="1:19" s="1" customFormat="1" ht="20.100000000000001" customHeight="1" x14ac:dyDescent="0.25">
      <c r="A461" s="68"/>
      <c r="F461" s="68"/>
      <c r="H461" s="2"/>
      <c r="I461" s="2"/>
      <c r="J461" s="72"/>
      <c r="K461" s="59"/>
      <c r="M461" s="68"/>
      <c r="O461" s="2"/>
      <c r="P461" s="2"/>
      <c r="Q461" s="2"/>
      <c r="R461" s="2"/>
      <c r="S461" s="2"/>
    </row>
    <row r="462" spans="1:19" s="1" customFormat="1" ht="20.100000000000001" customHeight="1" x14ac:dyDescent="0.25">
      <c r="A462" s="68"/>
      <c r="F462" s="68"/>
      <c r="H462" s="2"/>
      <c r="I462" s="2"/>
      <c r="J462" s="72"/>
      <c r="K462" s="59"/>
      <c r="M462" s="68"/>
      <c r="O462" s="2"/>
      <c r="P462" s="2"/>
      <c r="Q462" s="2"/>
      <c r="R462" s="2"/>
      <c r="S462" s="2"/>
    </row>
    <row r="463" spans="1:19" s="1" customFormat="1" ht="20.100000000000001" customHeight="1" x14ac:dyDescent="0.25">
      <c r="A463" s="68"/>
      <c r="F463" s="68"/>
      <c r="H463" s="2"/>
      <c r="I463" s="2"/>
      <c r="J463" s="72"/>
      <c r="K463" s="59"/>
      <c r="M463" s="68"/>
      <c r="O463" s="2"/>
      <c r="P463" s="2"/>
      <c r="Q463" s="2"/>
      <c r="R463" s="2"/>
      <c r="S463" s="2"/>
    </row>
    <row r="464" spans="1:19" s="1" customFormat="1" ht="20.100000000000001" customHeight="1" x14ac:dyDescent="0.25">
      <c r="A464" s="68"/>
      <c r="F464" s="68"/>
      <c r="H464" s="2"/>
      <c r="I464" s="2"/>
      <c r="J464" s="72"/>
      <c r="K464" s="59"/>
      <c r="M464" s="68"/>
      <c r="O464" s="2"/>
      <c r="P464" s="2"/>
      <c r="Q464" s="2"/>
      <c r="R464" s="2"/>
      <c r="S464" s="2"/>
    </row>
    <row r="465" spans="1:19" s="1" customFormat="1" ht="20.100000000000001" customHeight="1" x14ac:dyDescent="0.25">
      <c r="A465" s="68"/>
      <c r="F465" s="68"/>
      <c r="H465" s="2"/>
      <c r="I465" s="2"/>
      <c r="J465" s="72"/>
      <c r="K465" s="59"/>
      <c r="M465" s="68"/>
      <c r="O465" s="2"/>
      <c r="P465" s="2"/>
      <c r="Q465" s="2"/>
      <c r="R465" s="2"/>
      <c r="S465" s="2"/>
    </row>
    <row r="466" spans="1:19" s="1" customFormat="1" ht="20.100000000000001" customHeight="1" x14ac:dyDescent="0.25">
      <c r="A466" s="68"/>
      <c r="F466" s="68"/>
      <c r="H466" s="2"/>
      <c r="I466" s="2"/>
      <c r="J466" s="72"/>
      <c r="K466" s="59"/>
      <c r="M466" s="68"/>
      <c r="O466" s="2"/>
      <c r="P466" s="2"/>
      <c r="Q466" s="2"/>
      <c r="R466" s="2"/>
      <c r="S466" s="2"/>
    </row>
    <row r="467" spans="1:19" s="1" customFormat="1" ht="20.100000000000001" customHeight="1" x14ac:dyDescent="0.25">
      <c r="A467" s="68"/>
      <c r="F467" s="68"/>
      <c r="H467" s="2"/>
      <c r="I467" s="2"/>
      <c r="J467" s="72"/>
      <c r="K467" s="59"/>
      <c r="M467" s="68"/>
      <c r="O467" s="2"/>
      <c r="P467" s="2"/>
      <c r="Q467" s="2"/>
      <c r="R467" s="2"/>
      <c r="S467" s="2"/>
    </row>
    <row r="468" spans="1:19" s="1" customFormat="1" ht="20.100000000000001" customHeight="1" x14ac:dyDescent="0.25">
      <c r="A468" s="68"/>
      <c r="F468" s="68"/>
      <c r="H468" s="2"/>
      <c r="I468" s="2"/>
      <c r="J468" s="72"/>
      <c r="K468" s="59"/>
      <c r="M468" s="68"/>
      <c r="O468" s="2"/>
      <c r="P468" s="2"/>
      <c r="Q468" s="2"/>
      <c r="R468" s="2"/>
      <c r="S468" s="2"/>
    </row>
    <row r="469" spans="1:19" s="1" customFormat="1" ht="20.100000000000001" customHeight="1" x14ac:dyDescent="0.25">
      <c r="A469" s="68"/>
      <c r="F469" s="68"/>
      <c r="H469" s="2"/>
      <c r="I469" s="2"/>
      <c r="J469" s="72"/>
      <c r="K469" s="59"/>
      <c r="M469" s="68"/>
      <c r="O469" s="2"/>
      <c r="P469" s="2"/>
      <c r="Q469" s="2"/>
      <c r="R469" s="2"/>
      <c r="S469" s="2"/>
    </row>
    <row r="470" spans="1:19" s="1" customFormat="1" ht="20.100000000000001" customHeight="1" x14ac:dyDescent="0.25">
      <c r="A470" s="68"/>
      <c r="F470" s="68"/>
      <c r="H470" s="2"/>
      <c r="I470" s="2"/>
      <c r="J470" s="72"/>
      <c r="K470" s="59"/>
      <c r="M470" s="68"/>
      <c r="O470" s="2"/>
      <c r="P470" s="2"/>
      <c r="Q470" s="2"/>
      <c r="R470" s="2"/>
      <c r="S470" s="2"/>
    </row>
    <row r="471" spans="1:19" s="1" customFormat="1" ht="20.100000000000001" customHeight="1" x14ac:dyDescent="0.25">
      <c r="A471" s="68"/>
      <c r="F471" s="68"/>
      <c r="H471" s="2"/>
      <c r="I471" s="2"/>
      <c r="J471" s="72"/>
      <c r="K471" s="59"/>
      <c r="M471" s="68"/>
      <c r="O471" s="2"/>
      <c r="P471" s="2"/>
      <c r="Q471" s="2"/>
      <c r="R471" s="2"/>
      <c r="S471" s="2"/>
    </row>
    <row r="472" spans="1:19" s="1" customFormat="1" ht="20.100000000000001" customHeight="1" x14ac:dyDescent="0.25">
      <c r="A472" s="68"/>
      <c r="F472" s="68"/>
      <c r="H472" s="2"/>
      <c r="I472" s="2"/>
      <c r="J472" s="72"/>
      <c r="K472" s="59"/>
      <c r="M472" s="68"/>
      <c r="O472" s="2"/>
      <c r="P472" s="2"/>
      <c r="Q472" s="2"/>
      <c r="R472" s="2"/>
      <c r="S472" s="2"/>
    </row>
    <row r="473" spans="1:19" s="1" customFormat="1" ht="20.100000000000001" customHeight="1" x14ac:dyDescent="0.25">
      <c r="A473" s="68"/>
      <c r="F473" s="68"/>
      <c r="H473" s="2"/>
      <c r="I473" s="2"/>
      <c r="J473" s="72"/>
      <c r="K473" s="59"/>
      <c r="M473" s="68"/>
      <c r="O473" s="2"/>
      <c r="P473" s="2"/>
      <c r="Q473" s="2"/>
      <c r="R473" s="2"/>
      <c r="S473" s="2"/>
    </row>
    <row r="474" spans="1:19" s="1" customFormat="1" ht="20.100000000000001" customHeight="1" x14ac:dyDescent="0.25">
      <c r="A474" s="68"/>
      <c r="F474" s="68"/>
      <c r="H474" s="2"/>
      <c r="I474" s="2"/>
      <c r="J474" s="72"/>
      <c r="K474" s="59"/>
      <c r="M474" s="68"/>
      <c r="O474" s="2"/>
      <c r="P474" s="2"/>
      <c r="Q474" s="2"/>
      <c r="R474" s="2"/>
      <c r="S474" s="2"/>
    </row>
    <row r="475" spans="1:19" s="1" customFormat="1" ht="20.100000000000001" customHeight="1" x14ac:dyDescent="0.25">
      <c r="A475" s="68"/>
      <c r="F475" s="68"/>
      <c r="H475" s="2"/>
      <c r="I475" s="2"/>
      <c r="J475" s="72"/>
      <c r="K475" s="59"/>
      <c r="M475" s="68"/>
      <c r="O475" s="2"/>
      <c r="P475" s="2"/>
      <c r="Q475" s="2"/>
      <c r="R475" s="2"/>
      <c r="S475" s="2"/>
    </row>
    <row r="476" spans="1:19" s="1" customFormat="1" ht="20.100000000000001" customHeight="1" x14ac:dyDescent="0.25">
      <c r="A476" s="68"/>
      <c r="F476" s="68"/>
      <c r="H476" s="2"/>
      <c r="I476" s="2"/>
      <c r="J476" s="72"/>
      <c r="K476" s="59"/>
      <c r="M476" s="68"/>
      <c r="O476" s="2"/>
      <c r="P476" s="2"/>
      <c r="Q476" s="2"/>
      <c r="R476" s="2"/>
      <c r="S476" s="2"/>
    </row>
    <row r="477" spans="1:19" s="1" customFormat="1" ht="20.100000000000001" customHeight="1" x14ac:dyDescent="0.25">
      <c r="A477" s="68"/>
      <c r="F477" s="68"/>
      <c r="H477" s="2"/>
      <c r="I477" s="2"/>
      <c r="J477" s="72"/>
      <c r="K477" s="59"/>
      <c r="M477" s="68"/>
      <c r="O477" s="2"/>
      <c r="P477" s="2"/>
      <c r="Q477" s="2"/>
      <c r="R477" s="2"/>
      <c r="S477" s="2"/>
    </row>
    <row r="478" spans="1:19" s="1" customFormat="1" ht="20.100000000000001" customHeight="1" x14ac:dyDescent="0.25">
      <c r="A478" s="68"/>
      <c r="F478" s="68"/>
      <c r="H478" s="2"/>
      <c r="I478" s="2"/>
      <c r="J478" s="72"/>
      <c r="K478" s="59"/>
      <c r="M478" s="68"/>
      <c r="O478" s="2"/>
      <c r="P478" s="2"/>
      <c r="Q478" s="2"/>
      <c r="R478" s="2"/>
      <c r="S478" s="2"/>
    </row>
    <row r="479" spans="1:19" s="1" customFormat="1" ht="20.100000000000001" customHeight="1" x14ac:dyDescent="0.25">
      <c r="A479" s="68"/>
      <c r="F479" s="68"/>
      <c r="H479" s="2"/>
      <c r="I479" s="2"/>
      <c r="J479" s="72"/>
      <c r="K479" s="59"/>
      <c r="M479" s="68"/>
      <c r="O479" s="2"/>
      <c r="P479" s="2"/>
      <c r="Q479" s="2"/>
      <c r="R479" s="2"/>
      <c r="S479" s="2"/>
    </row>
    <row r="480" spans="1:19" s="1" customFormat="1" ht="20.100000000000001" customHeight="1" x14ac:dyDescent="0.25">
      <c r="A480" s="68"/>
      <c r="F480" s="68"/>
      <c r="H480" s="2"/>
      <c r="I480" s="2"/>
      <c r="J480" s="72"/>
      <c r="K480" s="59"/>
      <c r="M480" s="68"/>
      <c r="O480" s="2"/>
      <c r="P480" s="2"/>
      <c r="Q480" s="2"/>
      <c r="R480" s="2"/>
      <c r="S480" s="2"/>
    </row>
    <row r="481" spans="1:19" s="1" customFormat="1" ht="20.100000000000001" customHeight="1" x14ac:dyDescent="0.25">
      <c r="A481" s="68"/>
      <c r="F481" s="68"/>
      <c r="H481" s="2"/>
      <c r="I481" s="2"/>
      <c r="J481" s="72"/>
      <c r="K481" s="59"/>
      <c r="M481" s="68"/>
      <c r="O481" s="2"/>
      <c r="P481" s="2"/>
      <c r="Q481" s="2"/>
      <c r="R481" s="2"/>
      <c r="S481" s="2"/>
    </row>
    <row r="482" spans="1:19" s="1" customFormat="1" ht="20.100000000000001" customHeight="1" x14ac:dyDescent="0.25">
      <c r="A482" s="68"/>
      <c r="F482" s="68"/>
      <c r="H482" s="2"/>
      <c r="I482" s="2"/>
      <c r="J482" s="72"/>
      <c r="K482" s="59"/>
      <c r="M482" s="68"/>
      <c r="O482" s="2"/>
      <c r="P482" s="2"/>
      <c r="Q482" s="2"/>
      <c r="R482" s="2"/>
      <c r="S482" s="2"/>
    </row>
    <row r="483" spans="1:19" s="1" customFormat="1" ht="20.100000000000001" customHeight="1" x14ac:dyDescent="0.25">
      <c r="A483" s="68"/>
      <c r="F483" s="68"/>
      <c r="H483" s="2"/>
      <c r="I483" s="2"/>
      <c r="J483" s="72"/>
      <c r="K483" s="59"/>
      <c r="M483" s="68"/>
      <c r="O483" s="2"/>
      <c r="P483" s="2"/>
      <c r="Q483" s="2"/>
      <c r="R483" s="2"/>
      <c r="S483" s="2"/>
    </row>
    <row r="484" spans="1:19" s="1" customFormat="1" ht="20.100000000000001" customHeight="1" x14ac:dyDescent="0.25">
      <c r="A484" s="68"/>
      <c r="F484" s="68"/>
      <c r="H484" s="2"/>
      <c r="I484" s="2"/>
      <c r="J484" s="72"/>
      <c r="K484" s="59"/>
      <c r="M484" s="68"/>
      <c r="O484" s="2"/>
      <c r="P484" s="2"/>
      <c r="Q484" s="2"/>
      <c r="R484" s="2"/>
      <c r="S484" s="2"/>
    </row>
    <row r="485" spans="1:19" s="1" customFormat="1" ht="20.100000000000001" customHeight="1" x14ac:dyDescent="0.25">
      <c r="A485" s="68"/>
      <c r="F485" s="68"/>
      <c r="H485" s="2"/>
      <c r="I485" s="2"/>
      <c r="J485" s="72"/>
      <c r="K485" s="59"/>
      <c r="M485" s="68"/>
      <c r="O485" s="2"/>
      <c r="P485" s="2"/>
      <c r="Q485" s="2"/>
      <c r="R485" s="2"/>
      <c r="S485" s="2"/>
    </row>
    <row r="486" spans="1:19" s="1" customFormat="1" ht="20.100000000000001" customHeight="1" x14ac:dyDescent="0.25">
      <c r="A486" s="68"/>
      <c r="F486" s="68"/>
      <c r="H486" s="2"/>
      <c r="I486" s="2"/>
      <c r="J486" s="72"/>
      <c r="K486" s="59"/>
      <c r="M486" s="68"/>
      <c r="O486" s="2"/>
      <c r="P486" s="2"/>
      <c r="Q486" s="2"/>
      <c r="R486" s="2"/>
      <c r="S486" s="2"/>
    </row>
    <row r="487" spans="1:19" s="1" customFormat="1" ht="20.100000000000001" customHeight="1" x14ac:dyDescent="0.25">
      <c r="A487" s="68"/>
      <c r="F487" s="68"/>
      <c r="H487" s="2"/>
      <c r="I487" s="2"/>
      <c r="J487" s="72"/>
      <c r="K487" s="59"/>
      <c r="M487" s="68"/>
      <c r="O487" s="2"/>
      <c r="P487" s="2"/>
      <c r="Q487" s="2"/>
      <c r="R487" s="2"/>
      <c r="S487" s="2"/>
    </row>
    <row r="488" spans="1:19" s="1" customFormat="1" ht="20.100000000000001" customHeight="1" x14ac:dyDescent="0.25">
      <c r="A488" s="68"/>
      <c r="F488" s="68"/>
      <c r="H488" s="2"/>
      <c r="I488" s="2"/>
      <c r="J488" s="72"/>
      <c r="K488" s="59"/>
      <c r="M488" s="68"/>
      <c r="O488" s="2"/>
      <c r="P488" s="2"/>
      <c r="Q488" s="2"/>
      <c r="R488" s="2"/>
      <c r="S488" s="2"/>
    </row>
    <row r="489" spans="1:19" s="1" customFormat="1" ht="20.100000000000001" customHeight="1" x14ac:dyDescent="0.25">
      <c r="A489" s="68"/>
      <c r="F489" s="68"/>
      <c r="H489" s="2"/>
      <c r="I489" s="2"/>
      <c r="J489" s="72"/>
      <c r="K489" s="59"/>
      <c r="M489" s="68"/>
      <c r="O489" s="2"/>
      <c r="P489" s="2"/>
      <c r="Q489" s="2"/>
      <c r="R489" s="2"/>
      <c r="S489" s="2"/>
    </row>
    <row r="490" spans="1:19" s="1" customFormat="1" ht="20.100000000000001" customHeight="1" x14ac:dyDescent="0.25">
      <c r="A490" s="68"/>
      <c r="F490" s="68"/>
      <c r="H490" s="2"/>
      <c r="I490" s="2"/>
      <c r="J490" s="72"/>
      <c r="K490" s="59"/>
      <c r="M490" s="68"/>
      <c r="O490" s="2"/>
      <c r="P490" s="2"/>
      <c r="Q490" s="2"/>
      <c r="R490" s="2"/>
      <c r="S490" s="2"/>
    </row>
    <row r="491" spans="1:19" s="1" customFormat="1" ht="20.100000000000001" customHeight="1" x14ac:dyDescent="0.25">
      <c r="A491" s="68"/>
      <c r="F491" s="68"/>
      <c r="H491" s="2"/>
      <c r="I491" s="2"/>
      <c r="J491" s="72"/>
      <c r="K491" s="59"/>
      <c r="M491" s="68"/>
      <c r="O491" s="2"/>
      <c r="P491" s="2"/>
      <c r="Q491" s="2"/>
      <c r="R491" s="2"/>
      <c r="S491" s="2"/>
    </row>
    <row r="492" spans="1:19" s="1" customFormat="1" ht="20.100000000000001" customHeight="1" x14ac:dyDescent="0.25">
      <c r="A492" s="68"/>
      <c r="F492" s="68"/>
      <c r="H492" s="2"/>
      <c r="I492" s="2"/>
      <c r="J492" s="72"/>
      <c r="K492" s="59"/>
      <c r="M492" s="68"/>
      <c r="O492" s="2"/>
      <c r="P492" s="2"/>
      <c r="Q492" s="2"/>
      <c r="R492" s="2"/>
      <c r="S492" s="2"/>
    </row>
    <row r="493" spans="1:19" s="1" customFormat="1" ht="20.100000000000001" customHeight="1" x14ac:dyDescent="0.25">
      <c r="A493" s="68"/>
      <c r="F493" s="68"/>
      <c r="H493" s="2"/>
      <c r="I493" s="2"/>
      <c r="J493" s="72"/>
      <c r="K493" s="59"/>
      <c r="M493" s="68"/>
      <c r="O493" s="2"/>
      <c r="P493" s="2"/>
      <c r="Q493" s="2"/>
      <c r="R493" s="2"/>
      <c r="S493" s="2"/>
    </row>
    <row r="494" spans="1:19" s="1" customFormat="1" ht="20.100000000000001" customHeight="1" x14ac:dyDescent="0.25">
      <c r="A494" s="68"/>
      <c r="F494" s="68"/>
      <c r="H494" s="2"/>
      <c r="I494" s="2"/>
      <c r="J494" s="72"/>
      <c r="K494" s="59"/>
      <c r="M494" s="68"/>
      <c r="O494" s="2"/>
      <c r="P494" s="2"/>
      <c r="Q494" s="2"/>
      <c r="R494" s="2"/>
      <c r="S494" s="2"/>
    </row>
    <row r="495" spans="1:19" s="1" customFormat="1" ht="20.100000000000001" customHeight="1" x14ac:dyDescent="0.25">
      <c r="A495" s="68"/>
      <c r="F495" s="68"/>
      <c r="H495" s="2"/>
      <c r="I495" s="2"/>
      <c r="J495" s="72"/>
      <c r="K495" s="59"/>
      <c r="M495" s="68"/>
      <c r="O495" s="2"/>
      <c r="P495" s="2"/>
      <c r="Q495" s="2"/>
      <c r="R495" s="2"/>
      <c r="S495" s="2"/>
    </row>
    <row r="496" spans="1:19" s="1" customFormat="1" ht="20.100000000000001" customHeight="1" x14ac:dyDescent="0.25">
      <c r="A496" s="68"/>
      <c r="F496" s="68"/>
      <c r="H496" s="2"/>
      <c r="I496" s="2"/>
      <c r="J496" s="72"/>
      <c r="K496" s="59"/>
      <c r="M496" s="68"/>
      <c r="O496" s="2"/>
      <c r="P496" s="2"/>
      <c r="Q496" s="2"/>
      <c r="R496" s="2"/>
      <c r="S496" s="2"/>
    </row>
    <row r="497" spans="1:19" s="1" customFormat="1" ht="20.100000000000001" customHeight="1" x14ac:dyDescent="0.25">
      <c r="A497" s="68"/>
      <c r="F497" s="68"/>
      <c r="H497" s="2"/>
      <c r="I497" s="2"/>
      <c r="J497" s="72"/>
      <c r="K497" s="59"/>
      <c r="M497" s="68"/>
      <c r="O497" s="2"/>
      <c r="P497" s="2"/>
      <c r="Q497" s="2"/>
      <c r="R497" s="2"/>
      <c r="S497" s="2"/>
    </row>
    <row r="498" spans="1:19" s="1" customFormat="1" ht="20.100000000000001" customHeight="1" x14ac:dyDescent="0.25">
      <c r="A498" s="68"/>
      <c r="F498" s="68"/>
      <c r="H498" s="2"/>
      <c r="I498" s="2"/>
      <c r="J498" s="72"/>
      <c r="K498" s="59"/>
      <c r="M498" s="68"/>
      <c r="O498" s="2"/>
      <c r="P498" s="2"/>
      <c r="Q498" s="2"/>
      <c r="R498" s="2"/>
      <c r="S498" s="2"/>
    </row>
    <row r="499" spans="1:19" s="1" customFormat="1" ht="20.100000000000001" customHeight="1" x14ac:dyDescent="0.25">
      <c r="A499" s="68"/>
      <c r="F499" s="68"/>
      <c r="H499" s="2"/>
      <c r="I499" s="2"/>
      <c r="J499" s="72"/>
      <c r="K499" s="59"/>
      <c r="M499" s="68"/>
      <c r="O499" s="2"/>
      <c r="P499" s="2"/>
      <c r="Q499" s="2"/>
      <c r="R499" s="2"/>
      <c r="S499" s="2"/>
    </row>
    <row r="500" spans="1:19" s="1" customFormat="1" ht="20.100000000000001" customHeight="1" x14ac:dyDescent="0.25">
      <c r="A500" s="68"/>
      <c r="F500" s="68"/>
      <c r="H500" s="2"/>
      <c r="I500" s="2"/>
      <c r="J500" s="72"/>
      <c r="K500" s="59"/>
      <c r="M500" s="68"/>
      <c r="O500" s="2"/>
      <c r="P500" s="2"/>
      <c r="Q500" s="2"/>
      <c r="R500" s="2"/>
      <c r="S500" s="2"/>
    </row>
    <row r="501" spans="1:19" s="1" customFormat="1" ht="20.100000000000001" customHeight="1" x14ac:dyDescent="0.25">
      <c r="A501" s="68"/>
      <c r="F501" s="68"/>
      <c r="G501"/>
      <c r="H501" s="56"/>
      <c r="I501" s="56"/>
      <c r="J501" s="77"/>
      <c r="K501" s="59"/>
      <c r="L501"/>
      <c r="M501" s="68"/>
      <c r="O501" s="2"/>
      <c r="P501" s="2"/>
      <c r="Q501" s="2"/>
      <c r="R501" s="2"/>
      <c r="S501" s="2"/>
    </row>
    <row r="502" spans="1:19" s="1" customFormat="1" ht="20.100000000000001" customHeight="1" x14ac:dyDescent="0.25">
      <c r="A502" s="68"/>
      <c r="F502" s="68"/>
      <c r="G502"/>
      <c r="H502" s="56"/>
      <c r="I502" s="56"/>
      <c r="J502" s="77"/>
      <c r="K502" s="56"/>
      <c r="L502"/>
      <c r="M502" s="68"/>
      <c r="O502" s="2"/>
      <c r="P502" s="2"/>
      <c r="Q502" s="2"/>
      <c r="R502" s="2"/>
      <c r="S502" s="2"/>
    </row>
    <row r="503" spans="1:19" s="1" customFormat="1" ht="20.100000000000001" customHeight="1" x14ac:dyDescent="0.25">
      <c r="A503" s="68"/>
      <c r="F503" s="68"/>
      <c r="G503"/>
      <c r="H503" s="56"/>
      <c r="I503" s="56"/>
      <c r="J503" s="77"/>
      <c r="K503" s="56"/>
      <c r="L503"/>
      <c r="M503" s="68"/>
      <c r="O503" s="2"/>
      <c r="P503" s="2"/>
      <c r="Q503" s="2"/>
      <c r="R503" s="2"/>
      <c r="S503" s="2"/>
    </row>
    <row r="504" spans="1:19" s="1" customFormat="1" ht="20.100000000000001" customHeight="1" x14ac:dyDescent="0.25">
      <c r="A504" s="68"/>
      <c r="F504" s="68"/>
      <c r="G504"/>
      <c r="H504" s="56"/>
      <c r="I504" s="56"/>
      <c r="J504" s="77"/>
      <c r="K504" s="56"/>
      <c r="L504"/>
      <c r="M504" s="68"/>
      <c r="O504" s="2"/>
      <c r="P504" s="2"/>
      <c r="Q504" s="2"/>
      <c r="R504" s="2"/>
      <c r="S504" s="2"/>
    </row>
    <row r="505" spans="1:19" s="1" customFormat="1" ht="20.100000000000001" customHeight="1" x14ac:dyDescent="0.25">
      <c r="A505" s="68"/>
      <c r="F505" s="68"/>
      <c r="G505"/>
      <c r="H505" s="56"/>
      <c r="I505" s="56"/>
      <c r="J505" s="77"/>
      <c r="K505" s="56"/>
      <c r="L505"/>
      <c r="M505" s="68"/>
      <c r="O505" s="2"/>
      <c r="P505" s="2"/>
      <c r="Q505" s="2"/>
      <c r="R505" s="2"/>
      <c r="S505" s="2"/>
    </row>
    <row r="506" spans="1:19" s="1" customFormat="1" ht="20.100000000000001" customHeight="1" x14ac:dyDescent="0.25">
      <c r="A506" s="68"/>
      <c r="F506" s="68"/>
      <c r="G506"/>
      <c r="H506" s="56"/>
      <c r="I506" s="56"/>
      <c r="J506" s="77"/>
      <c r="K506" s="56"/>
      <c r="L506"/>
      <c r="M506" s="68"/>
      <c r="O506" s="2"/>
      <c r="P506" s="2"/>
      <c r="Q506" s="2"/>
      <c r="R506" s="2"/>
      <c r="S506" s="2"/>
    </row>
    <row r="507" spans="1:19" s="1" customFormat="1" ht="20.100000000000001" customHeight="1" x14ac:dyDescent="0.25">
      <c r="A507" s="68"/>
      <c r="F507" s="68"/>
      <c r="G507"/>
      <c r="H507" s="56"/>
      <c r="I507" s="56"/>
      <c r="J507" s="77"/>
      <c r="K507" s="56"/>
      <c r="L507"/>
      <c r="M507" s="68"/>
      <c r="O507" s="2"/>
      <c r="P507" s="2"/>
      <c r="Q507" s="2"/>
      <c r="R507" s="2"/>
      <c r="S507" s="2"/>
    </row>
    <row r="508" spans="1:19" s="1" customFormat="1" ht="20.100000000000001" customHeight="1" x14ac:dyDescent="0.25">
      <c r="A508" s="68"/>
      <c r="F508" s="68"/>
      <c r="G508"/>
      <c r="H508" s="56"/>
      <c r="I508" s="56"/>
      <c r="J508" s="77"/>
      <c r="K508" s="56"/>
      <c r="L508"/>
      <c r="M508" s="68"/>
      <c r="O508" s="2"/>
      <c r="P508" s="2"/>
      <c r="Q508" s="2"/>
      <c r="R508" s="2"/>
      <c r="S508" s="2"/>
    </row>
    <row r="509" spans="1:19" s="1" customFormat="1" ht="20.100000000000001" customHeight="1" x14ac:dyDescent="0.25">
      <c r="A509" s="68"/>
      <c r="F509" s="68"/>
      <c r="G509"/>
      <c r="H509" s="56"/>
      <c r="I509" s="56"/>
      <c r="J509" s="77"/>
      <c r="K509" s="56"/>
      <c r="L509"/>
      <c r="M509" s="68"/>
      <c r="O509" s="2"/>
      <c r="P509" s="2"/>
      <c r="Q509" s="2"/>
      <c r="R509" s="2"/>
      <c r="S509" s="2"/>
    </row>
    <row r="510" spans="1:19" s="1" customFormat="1" ht="20.100000000000001" customHeight="1" x14ac:dyDescent="0.25">
      <c r="A510" s="68"/>
      <c r="F510" s="68"/>
      <c r="G510"/>
      <c r="H510" s="56"/>
      <c r="I510" s="56"/>
      <c r="J510" s="77"/>
      <c r="K510" s="56"/>
      <c r="L510"/>
      <c r="M510" s="68"/>
      <c r="O510" s="2"/>
      <c r="P510" s="2"/>
      <c r="Q510" s="2"/>
      <c r="R510" s="2"/>
      <c r="S510" s="2"/>
    </row>
    <row r="511" spans="1:19" x14ac:dyDescent="0.25">
      <c r="N511" s="1"/>
      <c r="O511" s="2"/>
      <c r="P511" s="2"/>
      <c r="Q511" s="2"/>
      <c r="R511" s="2"/>
      <c r="S511" s="2"/>
    </row>
    <row r="512" spans="1:19" x14ac:dyDescent="0.25">
      <c r="N512" s="1"/>
      <c r="O512" s="2"/>
      <c r="P512" s="2"/>
      <c r="Q512" s="2"/>
      <c r="R512" s="2"/>
      <c r="S512" s="2"/>
    </row>
    <row r="513" spans="14:19" x14ac:dyDescent="0.25">
      <c r="N513" s="1"/>
      <c r="O513" s="2"/>
      <c r="P513" s="2"/>
      <c r="Q513" s="2"/>
      <c r="R513" s="2"/>
      <c r="S513" s="2"/>
    </row>
    <row r="514" spans="14:19" x14ac:dyDescent="0.25">
      <c r="N514" s="1"/>
      <c r="O514" s="2"/>
      <c r="P514" s="2"/>
      <c r="Q514" s="2"/>
      <c r="R514" s="2"/>
      <c r="S514" s="2"/>
    </row>
    <row r="515" spans="14:19" x14ac:dyDescent="0.25">
      <c r="N515" s="1"/>
      <c r="O515" s="2"/>
      <c r="P515" s="2"/>
      <c r="Q515" s="2"/>
      <c r="R515" s="2"/>
      <c r="S515" s="2"/>
    </row>
    <row r="516" spans="14:19" x14ac:dyDescent="0.25">
      <c r="N516" s="1"/>
      <c r="O516" s="2"/>
      <c r="P516" s="2"/>
      <c r="Q516" s="2"/>
      <c r="R516" s="2"/>
      <c r="S516" s="2"/>
    </row>
    <row r="517" spans="14:19" x14ac:dyDescent="0.25">
      <c r="N517" s="1"/>
      <c r="O517" s="2"/>
      <c r="P517" s="2"/>
      <c r="Q517" s="2"/>
      <c r="R517" s="2"/>
      <c r="S517" s="2"/>
    </row>
  </sheetData>
  <mergeCells count="18">
    <mergeCell ref="B17:E17"/>
    <mergeCell ref="I4:J4"/>
    <mergeCell ref="G3:L3"/>
    <mergeCell ref="G20:L20"/>
    <mergeCell ref="I21:J21"/>
    <mergeCell ref="B3:E3"/>
    <mergeCell ref="P57:Q57"/>
    <mergeCell ref="G51:L51"/>
    <mergeCell ref="I52:J52"/>
    <mergeCell ref="N3:S3"/>
    <mergeCell ref="P4:Q4"/>
    <mergeCell ref="N17:S17"/>
    <mergeCell ref="P18:Q18"/>
    <mergeCell ref="N25:S25"/>
    <mergeCell ref="P26:Q26"/>
    <mergeCell ref="N56:S56"/>
    <mergeCell ref="G29:L29"/>
    <mergeCell ref="I30:J30"/>
  </mergeCell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BA9F76-F5E1-4AA8-A664-E22A7435076C}">
  <sheetPr codeName="Lembar1">
    <pageSetUpPr fitToPage="1"/>
  </sheetPr>
  <dimension ref="B3:Q1037"/>
  <sheetViews>
    <sheetView showGridLines="0" tabSelected="1" view="pageBreakPreview" zoomScale="85" zoomScaleNormal="55" zoomScaleSheetLayoutView="85" zoomScalePageLayoutView="55" workbookViewId="0">
      <selection activeCell="K71" sqref="K71"/>
    </sheetView>
  </sheetViews>
  <sheetFormatPr defaultColWidth="9.140625" defaultRowHeight="18" x14ac:dyDescent="0.35"/>
  <cols>
    <col min="1" max="1" width="9.140625" style="78"/>
    <col min="2" max="2" width="19.140625" style="78" customWidth="1"/>
    <col min="3" max="3" width="30" style="79" customWidth="1"/>
    <col min="4" max="4" width="10.42578125" style="78" customWidth="1"/>
    <col min="5" max="5" width="13.42578125" style="78" customWidth="1"/>
    <col min="6" max="6" width="13.28515625" style="78" customWidth="1"/>
    <col min="7" max="7" width="12.85546875" style="78" customWidth="1"/>
    <col min="8" max="8" width="9.28515625" style="78" customWidth="1"/>
    <col min="9" max="10" width="12.28515625" style="78" customWidth="1"/>
    <col min="11" max="11" width="12.42578125" style="78" customWidth="1"/>
    <col min="12" max="12" width="14.28515625" style="78" customWidth="1"/>
    <col min="13" max="13" width="19.7109375" style="78" customWidth="1"/>
    <col min="14" max="14" width="10.7109375" style="78" customWidth="1"/>
    <col min="15" max="16384" width="9.140625" style="78"/>
  </cols>
  <sheetData>
    <row r="3" spans="2:16" ht="20.100000000000001" customHeight="1" x14ac:dyDescent="0.35">
      <c r="B3" s="140" t="s">
        <v>196</v>
      </c>
      <c r="C3" s="140"/>
      <c r="D3" s="140"/>
      <c r="E3" s="140"/>
      <c r="F3" s="140"/>
      <c r="G3" s="140"/>
      <c r="H3" s="140"/>
      <c r="I3" s="140"/>
      <c r="J3" s="140"/>
      <c r="K3" s="140"/>
      <c r="L3" s="140"/>
      <c r="M3" s="140"/>
      <c r="N3" s="140"/>
    </row>
    <row r="4" spans="2:16" ht="10.7" customHeight="1" x14ac:dyDescent="0.35">
      <c r="B4" s="140"/>
      <c r="C4" s="140"/>
      <c r="D4" s="140"/>
      <c r="E4" s="140"/>
      <c r="F4" s="140"/>
      <c r="G4" s="140"/>
      <c r="H4" s="140"/>
      <c r="I4" s="140"/>
      <c r="J4" s="140"/>
      <c r="K4" s="140"/>
      <c r="L4" s="140"/>
      <c r="M4" s="140"/>
      <c r="N4" s="140"/>
    </row>
    <row r="5" spans="2:16" ht="20.100000000000001" customHeight="1" x14ac:dyDescent="0.35">
      <c r="K5" s="80" t="s">
        <v>0</v>
      </c>
      <c r="L5" s="131" t="s">
        <v>197</v>
      </c>
      <c r="M5" s="131"/>
      <c r="N5" s="131"/>
    </row>
    <row r="6" spans="2:16" ht="20.100000000000001" customHeight="1" x14ac:dyDescent="0.35">
      <c r="B6" s="82" t="s">
        <v>1</v>
      </c>
      <c r="C6" s="146"/>
      <c r="D6" s="146"/>
      <c r="E6" s="146"/>
      <c r="F6" s="82"/>
      <c r="G6" s="82"/>
      <c r="H6" s="82"/>
      <c r="I6" s="82"/>
      <c r="J6" s="81" t="s">
        <v>2</v>
      </c>
      <c r="K6" s="83"/>
      <c r="L6" s="142"/>
      <c r="M6" s="143"/>
      <c r="N6" s="143"/>
    </row>
    <row r="7" spans="2:16" ht="4.5" customHeight="1" x14ac:dyDescent="0.35"/>
    <row r="8" spans="2:16" ht="20.100000000000001" customHeight="1" x14ac:dyDescent="0.35">
      <c r="B8" s="141" t="s">
        <v>3</v>
      </c>
      <c r="C8" s="141"/>
      <c r="D8" s="141"/>
      <c r="E8" s="141"/>
      <c r="F8" s="141"/>
      <c r="G8" s="141"/>
      <c r="H8" s="141"/>
      <c r="I8" s="141"/>
      <c r="J8" s="141"/>
      <c r="K8" s="141"/>
      <c r="L8" s="141"/>
      <c r="M8" s="141"/>
      <c r="N8" s="141"/>
    </row>
    <row r="9" spans="2:16" ht="20.100000000000001" customHeight="1" x14ac:dyDescent="0.35">
      <c r="B9" s="84" t="s">
        <v>4</v>
      </c>
      <c r="C9" s="143"/>
      <c r="D9" s="143"/>
      <c r="E9" s="143"/>
      <c r="F9" s="85"/>
      <c r="G9" s="85"/>
      <c r="H9" s="85"/>
      <c r="I9" s="85"/>
      <c r="J9" s="86"/>
      <c r="K9" s="87" t="s">
        <v>5</v>
      </c>
      <c r="L9" s="88"/>
      <c r="M9" s="87" t="s">
        <v>6</v>
      </c>
      <c r="N9" s="88"/>
    </row>
    <row r="10" spans="2:16" ht="20.100000000000001" customHeight="1" x14ac:dyDescent="0.35">
      <c r="B10" s="136" t="s">
        <v>7</v>
      </c>
      <c r="C10" s="147"/>
      <c r="D10" s="147"/>
      <c r="E10" s="147"/>
      <c r="F10" s="89" t="s">
        <v>8</v>
      </c>
      <c r="I10" s="90"/>
      <c r="J10" s="89"/>
      <c r="K10" s="144" t="s">
        <v>9</v>
      </c>
      <c r="L10" s="130"/>
      <c r="M10" s="145"/>
      <c r="N10" s="145"/>
    </row>
    <row r="11" spans="2:16" ht="20.100000000000001" customHeight="1" x14ac:dyDescent="0.35">
      <c r="B11" s="137"/>
      <c r="C11" s="148"/>
      <c r="D11" s="148"/>
      <c r="E11" s="148"/>
      <c r="F11" s="94" t="s">
        <v>10</v>
      </c>
      <c r="G11" s="82"/>
      <c r="H11" s="82"/>
      <c r="I11" s="82"/>
      <c r="J11" s="82"/>
      <c r="K11" s="131"/>
      <c r="L11" s="131"/>
      <c r="M11" s="146"/>
      <c r="N11" s="146"/>
    </row>
    <row r="12" spans="2:16" ht="4.5" customHeight="1" x14ac:dyDescent="0.35"/>
    <row r="13" spans="2:16" ht="20.100000000000001" customHeight="1" x14ac:dyDescent="0.35">
      <c r="B13" s="141" t="s">
        <v>187</v>
      </c>
      <c r="C13" s="141"/>
      <c r="D13" s="141"/>
      <c r="E13" s="141"/>
      <c r="F13" s="141"/>
      <c r="G13" s="141"/>
      <c r="H13" s="141"/>
      <c r="I13" s="141"/>
      <c r="J13" s="141"/>
      <c r="K13" s="141"/>
      <c r="L13" s="141"/>
      <c r="M13" s="141"/>
      <c r="N13" s="141"/>
    </row>
    <row r="14" spans="2:16" ht="8.25" customHeight="1" x14ac:dyDescent="0.35">
      <c r="B14" s="126"/>
      <c r="C14" s="126"/>
      <c r="D14" s="126"/>
      <c r="E14" s="126"/>
      <c r="F14" s="126"/>
      <c r="G14" s="126"/>
      <c r="H14" s="126"/>
      <c r="I14" s="126"/>
      <c r="J14" s="126"/>
      <c r="K14" s="126"/>
      <c r="L14" s="126"/>
      <c r="M14" s="126"/>
      <c r="N14" s="126"/>
    </row>
    <row r="15" spans="2:16" s="84" customFormat="1" ht="30.75" customHeight="1" x14ac:dyDescent="0.25">
      <c r="B15" s="95" t="s">
        <v>30</v>
      </c>
      <c r="C15" s="96" t="s">
        <v>32</v>
      </c>
      <c r="D15" s="97" t="s">
        <v>188</v>
      </c>
      <c r="E15" s="132"/>
      <c r="F15" s="132"/>
      <c r="G15" s="132"/>
      <c r="H15" s="132"/>
      <c r="I15" s="132"/>
      <c r="J15" s="132"/>
      <c r="K15" s="132"/>
      <c r="L15" s="132"/>
      <c r="M15" s="132"/>
      <c r="N15" s="97" t="s">
        <v>34</v>
      </c>
    </row>
    <row r="16" spans="2:16" s="84" customFormat="1" ht="24" customHeight="1" x14ac:dyDescent="0.25">
      <c r="B16" s="135" t="s">
        <v>35</v>
      </c>
      <c r="C16" s="98" t="s">
        <v>36</v>
      </c>
      <c r="D16" s="99"/>
      <c r="E16" s="100" t="s">
        <v>363</v>
      </c>
      <c r="F16" s="100"/>
      <c r="G16" s="100"/>
      <c r="H16" s="100"/>
      <c r="I16" s="100"/>
      <c r="J16" s="100"/>
      <c r="K16" s="100"/>
      <c r="L16" s="100"/>
      <c r="M16" s="100"/>
      <c r="N16" s="113" t="str">
        <f>IF(E16=Data!B4,"0.6",IF(E16=Data!B5,"0.9",IF(E16=Data!B6,"1.2",IF(E16=Data!B7,"3",IF(E16=Data!B8,"4",IF(E16=Data!B9,"3.6",IF(E16=Data!B10,"4",IF(E16=Data!B11,"5.4",IF(E16=Data!B12,"6","0")))))))))</f>
        <v>3</v>
      </c>
      <c r="P16" s="91"/>
    </row>
    <row r="17" spans="2:16" s="84" customFormat="1" ht="24.95" customHeight="1" x14ac:dyDescent="0.25">
      <c r="B17" s="137"/>
      <c r="C17" s="98" t="s">
        <v>11</v>
      </c>
      <c r="D17" s="99"/>
      <c r="E17" s="100"/>
      <c r="F17" s="100"/>
      <c r="G17" s="100"/>
      <c r="H17" s="100"/>
      <c r="I17" s="100"/>
      <c r="J17" s="100"/>
      <c r="K17" s="100"/>
      <c r="L17" s="100"/>
      <c r="M17" s="100"/>
      <c r="N17" s="113" t="str">
        <f>IF(E17=Data!B14,"2.4",IF(E17=Data!B15,"3",IF(E17=Data!B16,"4.2",IF(E17=Data!B17,"5",IF(E17=Data!B18,"16","0")))))</f>
        <v>0</v>
      </c>
      <c r="P17" s="91"/>
    </row>
    <row r="18" spans="2:16" ht="8.25" customHeight="1" x14ac:dyDescent="0.35">
      <c r="B18" s="126"/>
      <c r="C18" s="126"/>
      <c r="D18" s="126"/>
      <c r="E18" s="126"/>
      <c r="F18" s="126"/>
      <c r="G18" s="126"/>
      <c r="H18" s="126"/>
      <c r="I18" s="126"/>
      <c r="J18" s="126"/>
      <c r="K18" s="126"/>
      <c r="L18" s="126"/>
      <c r="M18" s="126"/>
      <c r="N18" s="126"/>
    </row>
    <row r="19" spans="2:16" s="84" customFormat="1" ht="24.95" customHeight="1" x14ac:dyDescent="0.25">
      <c r="B19" s="100" t="s">
        <v>39</v>
      </c>
      <c r="C19" s="99"/>
      <c r="D19" s="99"/>
      <c r="E19" s="100" t="s">
        <v>90</v>
      </c>
      <c r="F19" s="100"/>
      <c r="G19" s="100"/>
      <c r="H19" s="100"/>
      <c r="I19" s="100"/>
      <c r="J19" s="100"/>
      <c r="K19" s="100"/>
      <c r="L19" s="100"/>
      <c r="M19" s="100"/>
      <c r="N19" s="113" t="str">
        <f>IF(E19=Data!B20,"0.6",IF(E19=Data!B21,"1.2",IF(E19=Data!B22,"1.8",IF(E19=Data!B23,"2.4",IF(E19=Data!B24,"3",IF(E19=Data!B25,"4","0"))))))</f>
        <v>2.4</v>
      </c>
    </row>
    <row r="20" spans="2:16" ht="8.25" customHeight="1" x14ac:dyDescent="0.35">
      <c r="B20" s="126"/>
      <c r="C20" s="126"/>
      <c r="D20" s="126"/>
      <c r="E20" s="126"/>
      <c r="F20" s="126"/>
      <c r="G20" s="126"/>
      <c r="H20" s="126"/>
      <c r="I20" s="126"/>
      <c r="J20" s="126"/>
      <c r="K20" s="126"/>
      <c r="L20" s="126"/>
      <c r="M20" s="126"/>
      <c r="N20" s="126"/>
    </row>
    <row r="21" spans="2:16" s="84" customFormat="1" ht="24.95" customHeight="1" x14ac:dyDescent="0.25">
      <c r="B21" s="123" t="s">
        <v>43</v>
      </c>
      <c r="C21" s="133" t="s">
        <v>189</v>
      </c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14" t="str">
        <f>IF(E21=Data!B27,"0.2",IF(E21=Data!B28,"0.4",IF(E21=Data!B29,"0.6",IF(E21=Data!B30,"0.8",IF(E21=Data!B31,"1","0")))))</f>
        <v>0</v>
      </c>
    </row>
    <row r="22" spans="2:16" s="84" customFormat="1" ht="24.95" customHeight="1" x14ac:dyDescent="0.25">
      <c r="B22" s="124"/>
      <c r="C22" s="134"/>
      <c r="D22" s="80"/>
      <c r="E22" s="80"/>
      <c r="F22" s="80"/>
      <c r="G22" s="80"/>
      <c r="H22" s="80"/>
      <c r="I22" s="80"/>
      <c r="J22" s="80"/>
      <c r="K22" s="80"/>
      <c r="L22" s="80"/>
      <c r="M22" s="80"/>
      <c r="N22" s="115"/>
    </row>
    <row r="23" spans="2:16" s="84" customFormat="1" ht="24.95" customHeight="1" x14ac:dyDescent="0.25">
      <c r="B23" s="124"/>
      <c r="C23" s="123" t="s">
        <v>190</v>
      </c>
      <c r="D23" s="130"/>
      <c r="E23" s="101"/>
      <c r="F23" s="101"/>
      <c r="G23" s="101"/>
      <c r="H23" s="101"/>
      <c r="I23" s="101"/>
      <c r="J23" s="101"/>
      <c r="K23" s="101"/>
      <c r="L23" s="101"/>
      <c r="M23" s="101"/>
      <c r="N23" s="114" t="str">
        <f>IF(E23=Data!B33,"0.2",IF(E23=Data!B34,"0.4",IF(E23=Data!B35,"0.6",IF(E23=Data!B36,"0.8",IF(E23=Data!B37,"1","0")))))</f>
        <v>0</v>
      </c>
    </row>
    <row r="24" spans="2:16" s="84" customFormat="1" ht="24.95" customHeight="1" x14ac:dyDescent="0.25">
      <c r="B24" s="124"/>
      <c r="C24" s="125"/>
      <c r="D24" s="131"/>
      <c r="E24" s="80"/>
      <c r="F24" s="80"/>
      <c r="G24" s="80"/>
      <c r="H24" s="80"/>
      <c r="I24" s="80"/>
      <c r="J24" s="80"/>
      <c r="K24" s="80"/>
      <c r="L24" s="80"/>
      <c r="M24" s="80"/>
      <c r="N24" s="116"/>
    </row>
    <row r="25" spans="2:16" s="84" customFormat="1" ht="24.95" customHeight="1" x14ac:dyDescent="0.25">
      <c r="B25" s="124"/>
      <c r="C25" s="93" t="s">
        <v>125</v>
      </c>
      <c r="D25" s="99"/>
      <c r="E25" s="100"/>
      <c r="F25" s="100"/>
      <c r="G25" s="100"/>
      <c r="H25" s="100"/>
      <c r="I25" s="100"/>
      <c r="J25" s="100"/>
      <c r="K25" s="100"/>
      <c r="L25" s="100"/>
      <c r="M25" s="100"/>
      <c r="N25" s="114" t="str">
        <f>IF(E25=Data!B39,"0.2",IF(E25=Data!B40,"0.4",IF(E25=Data!B41,"0.6",IF(E25=Data!B42,"0.8",IF(E25=Data!B43,"1","0")))))</f>
        <v>0</v>
      </c>
    </row>
    <row r="26" spans="2:16" s="84" customFormat="1" ht="24.95" customHeight="1" x14ac:dyDescent="0.25">
      <c r="B26" s="125"/>
      <c r="C26" s="98" t="s">
        <v>136</v>
      </c>
      <c r="D26" s="99"/>
      <c r="E26" s="100"/>
      <c r="F26" s="100"/>
      <c r="G26" s="100"/>
      <c r="H26" s="100"/>
      <c r="I26" s="100"/>
      <c r="J26" s="100"/>
      <c r="K26" s="100"/>
      <c r="L26" s="100"/>
      <c r="M26" s="100"/>
      <c r="N26" s="113" t="str">
        <f>IF(E26=Data!B45,"0.4",IF(E26=Data!B46,"0.6",IF(E26=Data!B47,"0.8",IF(E26=Data!B48,"1","0"))))</f>
        <v>0</v>
      </c>
    </row>
    <row r="27" spans="2:16" ht="8.25" customHeight="1" x14ac:dyDescent="0.35">
      <c r="B27" s="126"/>
      <c r="C27" s="126"/>
      <c r="D27" s="126"/>
      <c r="E27" s="126"/>
      <c r="F27" s="126"/>
      <c r="G27" s="126"/>
      <c r="H27" s="126"/>
      <c r="I27" s="126"/>
      <c r="J27" s="126"/>
      <c r="K27" s="126"/>
      <c r="L27" s="126"/>
      <c r="M27" s="126"/>
      <c r="N27" s="126"/>
    </row>
    <row r="28" spans="2:16" s="84" customFormat="1" ht="24.95" customHeight="1" x14ac:dyDescent="0.25">
      <c r="B28" s="135" t="s">
        <v>13</v>
      </c>
      <c r="C28" s="98" t="s">
        <v>148</v>
      </c>
      <c r="D28" s="99"/>
      <c r="E28" s="102" t="s">
        <v>383</v>
      </c>
      <c r="F28" s="100"/>
      <c r="G28" s="100"/>
      <c r="H28" s="100"/>
      <c r="I28" s="100"/>
      <c r="J28" s="100"/>
      <c r="K28" s="100"/>
      <c r="L28" s="100"/>
      <c r="M28" s="100"/>
      <c r="N28" s="114" t="str">
        <f>IF(E28=Data!B50,"0.4",IF(E28=Data!B51,"0.8",IF(E28=Data!B52,"1.2",IF(E28=Data!B53,"1.6",IF(E28=Data!B54,"2","0")))))</f>
        <v>1.2</v>
      </c>
    </row>
    <row r="29" spans="2:16" s="84" customFormat="1" ht="24.95" customHeight="1" x14ac:dyDescent="0.25">
      <c r="B29" s="136"/>
      <c r="C29" s="98" t="s">
        <v>157</v>
      </c>
      <c r="D29" s="99"/>
      <c r="E29" s="100"/>
      <c r="F29" s="100"/>
      <c r="G29" s="100"/>
      <c r="H29" s="100"/>
      <c r="I29" s="100"/>
      <c r="J29" s="100"/>
      <c r="K29" s="100"/>
      <c r="L29" s="100"/>
      <c r="M29" s="100"/>
      <c r="N29" s="114" t="str">
        <f>IF(E29=Data!B56,"0.8",IF(E29=Data!B57,"1.4",IF(E29=Data!B58,"2","0")))</f>
        <v>0</v>
      </c>
    </row>
    <row r="30" spans="2:16" s="84" customFormat="1" ht="24.95" customHeight="1" x14ac:dyDescent="0.25">
      <c r="B30" s="136"/>
      <c r="C30" s="98" t="s">
        <v>198</v>
      </c>
      <c r="D30" s="99"/>
      <c r="E30" s="100" t="s">
        <v>435</v>
      </c>
      <c r="F30" s="100"/>
      <c r="G30" s="100"/>
      <c r="H30" s="100"/>
      <c r="I30" s="100"/>
      <c r="J30" s="100"/>
      <c r="K30" s="100"/>
      <c r="L30" s="100"/>
      <c r="M30" s="100"/>
      <c r="N30" s="114" t="str">
        <f>IF(E30=Data!B60,"0.3",IF(E30=Data!B61,"0.6",IF(E30=Data!B62,"0.9",IF(E30=Data!B63,"1.2",IF(E30=Data!B64,"1.6",IF(E30=Data!B65,"2","0"))))))</f>
        <v>1.2</v>
      </c>
    </row>
    <row r="31" spans="2:16" s="84" customFormat="1" ht="24.95" customHeight="1" x14ac:dyDescent="0.25">
      <c r="B31" s="136"/>
      <c r="C31" s="98" t="s">
        <v>172</v>
      </c>
      <c r="D31" s="99"/>
      <c r="E31" s="100" t="s">
        <v>175</v>
      </c>
      <c r="F31" s="100"/>
      <c r="G31" s="100"/>
      <c r="H31" s="100"/>
      <c r="I31" s="100"/>
      <c r="J31" s="100"/>
      <c r="K31" s="100"/>
      <c r="L31" s="100"/>
      <c r="M31" s="100"/>
      <c r="N31" s="114" t="str">
        <f>IF(E31=Data!B67,"0.15",IF(E31=Data!B68,"0.2",IF(E31=Data!B69,"0.25","0")))</f>
        <v>0.25</v>
      </c>
    </row>
    <row r="32" spans="2:16" s="84" customFormat="1" ht="24.95" customHeight="1" x14ac:dyDescent="0.25">
      <c r="B32" s="136"/>
      <c r="C32" s="98" t="s">
        <v>176</v>
      </c>
      <c r="D32" s="99"/>
      <c r="E32" s="100" t="s">
        <v>175</v>
      </c>
      <c r="F32" s="100"/>
      <c r="G32" s="100"/>
      <c r="H32" s="100"/>
      <c r="I32" s="100"/>
      <c r="J32" s="100"/>
      <c r="K32" s="100"/>
      <c r="L32" s="100"/>
      <c r="M32" s="100"/>
      <c r="N32" s="114" t="str">
        <f>IF(E32=Data!B71,"0.1",IF(E32=Data!B72,"0.15",IF(E32=Data!B73,"0.2",IF(E32=Data!B74,"0.25","0"))))</f>
        <v>0.25</v>
      </c>
    </row>
    <row r="33" spans="2:14" s="84" customFormat="1" ht="24.95" customHeight="1" x14ac:dyDescent="0.25">
      <c r="B33" s="136"/>
      <c r="C33" s="98" t="s">
        <v>180</v>
      </c>
      <c r="D33" s="99"/>
      <c r="E33" s="100" t="s">
        <v>181</v>
      </c>
      <c r="F33" s="100"/>
      <c r="G33" s="100"/>
      <c r="H33" s="100"/>
      <c r="I33" s="100"/>
      <c r="J33" s="100"/>
      <c r="K33" s="100"/>
      <c r="L33" s="100"/>
      <c r="M33" s="100"/>
      <c r="N33" s="114" t="str">
        <f>IF(E33=Data!B76,"0.5",IF(E33=Data!B77,"0.4",IF(E33=Data!B78,"0.3",IF(E33=Data!B79,"0.2","0"))))</f>
        <v>0.5</v>
      </c>
    </row>
    <row r="34" spans="2:14" s="84" customFormat="1" ht="24.95" customHeight="1" x14ac:dyDescent="0.25">
      <c r="B34" s="136"/>
      <c r="C34" s="98" t="s">
        <v>185</v>
      </c>
      <c r="D34" s="99"/>
      <c r="E34" s="100" t="s">
        <v>184</v>
      </c>
      <c r="F34" s="100"/>
      <c r="G34" s="100"/>
      <c r="H34" s="100"/>
      <c r="I34" s="100"/>
      <c r="J34" s="100"/>
      <c r="K34" s="100"/>
      <c r="L34" s="100"/>
      <c r="M34" s="100"/>
      <c r="N34" s="114" t="str">
        <f>IF(E34=Data!B81,"0.5",IF(E34=Data!B82,"0.4",IF(E34=Data!B83,"0.3",IF(E34=Data!B84,"0.2","0"))))</f>
        <v>0.2</v>
      </c>
    </row>
    <row r="35" spans="2:14" s="84" customFormat="1" ht="24.75" customHeight="1" x14ac:dyDescent="0.25">
      <c r="B35" s="137"/>
      <c r="C35" s="98" t="s">
        <v>186</v>
      </c>
      <c r="D35" s="99"/>
      <c r="E35" s="100" t="s">
        <v>181</v>
      </c>
      <c r="F35" s="100"/>
      <c r="G35" s="100"/>
      <c r="H35" s="100"/>
      <c r="I35" s="100"/>
      <c r="J35" s="100"/>
      <c r="K35" s="100"/>
      <c r="L35" s="100"/>
      <c r="M35" s="100"/>
      <c r="N35" s="113" t="str">
        <f>IF(E35=Data!B86,"0.5",IF(E35=Data!B87,"0.4",IF(E35=Data!B88,"0.3",IF(E35=Data!B89,"0.2","0"))))</f>
        <v>0.5</v>
      </c>
    </row>
    <row r="36" spans="2:14" ht="8.25" customHeight="1" x14ac:dyDescent="0.35">
      <c r="B36" s="126"/>
      <c r="C36" s="126"/>
      <c r="D36" s="126"/>
      <c r="E36" s="126"/>
      <c r="F36" s="126"/>
      <c r="G36" s="126"/>
      <c r="H36" s="126"/>
      <c r="I36" s="126"/>
      <c r="J36" s="126"/>
      <c r="K36" s="126"/>
      <c r="L36" s="126"/>
      <c r="M36" s="126"/>
      <c r="N36" s="126"/>
    </row>
    <row r="37" spans="2:14" s="84" customFormat="1" ht="24.95" customHeight="1" x14ac:dyDescent="0.25">
      <c r="B37" s="135" t="s">
        <v>422</v>
      </c>
      <c r="C37" s="98" t="s">
        <v>423</v>
      </c>
      <c r="D37" s="99"/>
      <c r="E37" s="100" t="s">
        <v>391</v>
      </c>
      <c r="F37" s="100"/>
      <c r="G37" s="100"/>
      <c r="H37" s="100"/>
      <c r="I37" s="100"/>
      <c r="J37" s="100"/>
      <c r="K37" s="100"/>
      <c r="L37" s="100"/>
      <c r="M37" s="100"/>
      <c r="N37" s="114" t="str">
        <f>IF(E37=Data!B91,"0.8",IF(E37=Data!B92,"1",IF(E37=Data!B93,"1.2",IF(E37=Data!B94,"1.4",IF(E37=Data!B95,"1.6","0")))))</f>
        <v>1.2</v>
      </c>
    </row>
    <row r="38" spans="2:14" s="84" customFormat="1" ht="24.95" customHeight="1" x14ac:dyDescent="0.25">
      <c r="B38" s="136"/>
      <c r="C38" s="98" t="s">
        <v>424</v>
      </c>
      <c r="D38" s="99"/>
      <c r="E38" s="100" t="s">
        <v>387</v>
      </c>
      <c r="F38" s="100"/>
      <c r="G38" s="100"/>
      <c r="H38" s="100"/>
      <c r="I38" s="100"/>
      <c r="J38" s="100"/>
      <c r="K38" s="100"/>
      <c r="L38" s="100"/>
      <c r="M38" s="100"/>
      <c r="N38" s="114" t="str">
        <f>IF(E38=Data!B97,"0.6",IF(E38=Data!B98,"0.8",IF(E38=Data!B99,"1",IF(E38=Data!B100,"1.2",IF(E38=Data!B101,"1.4","0")))))</f>
        <v>1.4</v>
      </c>
    </row>
    <row r="39" spans="2:14" s="84" customFormat="1" ht="24.95" customHeight="1" x14ac:dyDescent="0.25">
      <c r="B39" s="136"/>
      <c r="C39" s="98" t="s">
        <v>425</v>
      </c>
      <c r="D39" s="100"/>
      <c r="E39" s="84" t="s">
        <v>398</v>
      </c>
      <c r="F39" s="100"/>
      <c r="G39" s="100"/>
      <c r="H39" s="100"/>
      <c r="I39" s="100"/>
      <c r="J39" s="100"/>
      <c r="K39" s="100"/>
      <c r="L39" s="100"/>
      <c r="M39" s="100"/>
      <c r="N39" s="114" t="str">
        <f>IF(E39=Data!B103,"1.4",IF(E39=Data!B104,"1.2",IF(E39=Data!B105,"1",IF(E39=Data!B106,"0.8",IF(E39=Data!B107,"0.6",IF(E39=Data!B108,"0.4",IF(E39=Data!B109,"0.2","0")))))))</f>
        <v>1.2</v>
      </c>
    </row>
    <row r="40" spans="2:14" s="84" customFormat="1" ht="24.95" customHeight="1" x14ac:dyDescent="0.25">
      <c r="B40" s="137"/>
      <c r="C40" s="98" t="s">
        <v>26</v>
      </c>
      <c r="D40" s="99"/>
      <c r="E40" s="100"/>
      <c r="F40" s="100"/>
      <c r="G40" s="100"/>
      <c r="H40" s="100"/>
      <c r="I40" s="100"/>
      <c r="J40" s="100"/>
      <c r="K40" s="100"/>
      <c r="L40" s="100"/>
      <c r="M40" s="100"/>
      <c r="N40" s="114" t="str">
        <f>IF(E40=Data!B111,"1.6",IF(E40=Data!B112,"1.4",IF(E40=Data!B113,"1.2",IF(E40=Data!B114,"1","0"))))</f>
        <v>0</v>
      </c>
    </row>
    <row r="41" spans="2:14" ht="8.25" customHeight="1" x14ac:dyDescent="0.35">
      <c r="B41" s="126"/>
      <c r="C41" s="126"/>
      <c r="D41" s="126"/>
      <c r="E41" s="126"/>
      <c r="F41" s="126"/>
      <c r="G41" s="126"/>
      <c r="H41" s="126"/>
      <c r="I41" s="126"/>
      <c r="J41" s="126"/>
      <c r="K41" s="126"/>
      <c r="L41" s="126"/>
      <c r="M41" s="126"/>
      <c r="N41" s="126"/>
    </row>
    <row r="42" spans="2:14" s="84" customFormat="1" ht="24.95" customHeight="1" x14ac:dyDescent="0.25">
      <c r="B42" s="135" t="s">
        <v>15</v>
      </c>
      <c r="C42" s="98" t="s">
        <v>199</v>
      </c>
      <c r="D42" s="99"/>
      <c r="E42" s="100"/>
      <c r="F42" s="100"/>
      <c r="G42" s="100"/>
      <c r="H42" s="100"/>
      <c r="I42" s="100"/>
      <c r="J42" s="100"/>
      <c r="K42" s="100"/>
      <c r="L42" s="100"/>
      <c r="M42" s="100"/>
      <c r="N42" s="114" t="str">
        <f>IF(E42=Data!B116,"0.2","0")</f>
        <v>0</v>
      </c>
    </row>
    <row r="43" spans="2:14" s="84" customFormat="1" ht="24.95" customHeight="1" x14ac:dyDescent="0.25">
      <c r="B43" s="136"/>
      <c r="C43" s="98" t="s">
        <v>41</v>
      </c>
      <c r="D43" s="99"/>
      <c r="E43" s="100" t="s">
        <v>42</v>
      </c>
      <c r="F43" s="100"/>
      <c r="G43" s="100"/>
      <c r="H43" s="100"/>
      <c r="I43" s="100"/>
      <c r="J43" s="100"/>
      <c r="K43" s="100"/>
      <c r="L43" s="100"/>
      <c r="M43" s="100"/>
      <c r="N43" s="114" t="str">
        <f>IF(E43=Data!B118,"0.6",IF(E43=Data!B119,"0.8",IF(E43=Data!B120,"1","0")))</f>
        <v>0.6</v>
      </c>
    </row>
    <row r="44" spans="2:14" s="84" customFormat="1" ht="24.95" customHeight="1" x14ac:dyDescent="0.25">
      <c r="B44" s="136"/>
      <c r="C44" s="98" t="s">
        <v>51</v>
      </c>
      <c r="D44" s="100"/>
      <c r="E44" s="84" t="s">
        <v>42</v>
      </c>
      <c r="F44" s="100"/>
      <c r="G44" s="100"/>
      <c r="H44" s="100"/>
      <c r="I44" s="100"/>
      <c r="J44" s="100"/>
      <c r="K44" s="100"/>
      <c r="L44" s="100"/>
      <c r="M44" s="100"/>
      <c r="N44" s="114" t="str">
        <f>IF(E43=Data!B122,"0.6",IF(E43=Data!B123,"0.8",IF(E43=Data!B124,"1","0")))</f>
        <v>0.6</v>
      </c>
    </row>
    <row r="45" spans="2:14" s="84" customFormat="1" ht="24.95" customHeight="1" x14ac:dyDescent="0.25">
      <c r="B45" s="137"/>
      <c r="C45" s="98" t="s">
        <v>58</v>
      </c>
      <c r="D45" s="99"/>
      <c r="E45" s="100" t="s">
        <v>42</v>
      </c>
      <c r="F45" s="100"/>
      <c r="G45" s="100"/>
      <c r="H45" s="100"/>
      <c r="I45" s="100"/>
      <c r="J45" s="100"/>
      <c r="K45" s="100"/>
      <c r="L45" s="100"/>
      <c r="M45" s="100"/>
      <c r="N45" s="113" t="str">
        <f>IF(E44=Data!B126,"1.2",IF(E44=Data!B127,"1.6",IF(E44=Data!B128,"2","0")))</f>
        <v>1.2</v>
      </c>
    </row>
    <row r="46" spans="2:14" ht="8.25" customHeight="1" x14ac:dyDescent="0.35">
      <c r="B46" s="126"/>
      <c r="C46" s="126"/>
      <c r="D46" s="126"/>
      <c r="E46" s="126"/>
      <c r="F46" s="126"/>
      <c r="G46" s="126"/>
      <c r="H46" s="126"/>
      <c r="I46" s="126"/>
      <c r="J46" s="126"/>
      <c r="K46" s="126"/>
      <c r="L46" s="126"/>
      <c r="M46" s="126"/>
      <c r="N46" s="126"/>
    </row>
    <row r="47" spans="2:14" s="84" customFormat="1" ht="24.95" customHeight="1" x14ac:dyDescent="0.25">
      <c r="B47" s="100" t="s">
        <v>73</v>
      </c>
      <c r="C47" s="98"/>
      <c r="D47" s="99"/>
      <c r="E47" s="100" t="s">
        <v>88</v>
      </c>
      <c r="F47" s="100"/>
      <c r="G47" s="100"/>
      <c r="H47" s="100"/>
      <c r="I47" s="100"/>
      <c r="J47" s="100"/>
      <c r="K47" s="100"/>
      <c r="L47" s="100"/>
      <c r="M47" s="100"/>
      <c r="N47" s="113" t="str">
        <f>IF(E47=Data!B130,"1",IF(E47=Data!B131,"2",IF(E47=Data!B132,"2.2",IF(E47=Data!B133,"2.4",IF(E47=Data!B134,"4","0")))))</f>
        <v>4</v>
      </c>
    </row>
    <row r="48" spans="2:14" ht="8.25" customHeight="1" x14ac:dyDescent="0.35"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</row>
    <row r="49" spans="2:14" s="84" customFormat="1" ht="24.95" customHeight="1" x14ac:dyDescent="0.25">
      <c r="B49" s="123" t="s">
        <v>191</v>
      </c>
      <c r="C49" s="98" t="s">
        <v>95</v>
      </c>
      <c r="D49" s="99"/>
      <c r="E49" s="102"/>
      <c r="F49" s="100"/>
      <c r="G49" s="100"/>
      <c r="H49" s="100"/>
      <c r="I49" s="100"/>
      <c r="J49" s="100"/>
      <c r="K49" s="100"/>
      <c r="L49" s="100"/>
      <c r="M49" s="100"/>
      <c r="N49" s="114" t="str">
        <f>IF(E49=Data!B136,"0.8",IF(E49=Data!B137,"1",IF(E49=Data!B138,"1.2",IF(E49=Data!B139,"1.4","0"))))</f>
        <v>0</v>
      </c>
    </row>
    <row r="50" spans="2:14" s="84" customFormat="1" ht="24.95" customHeight="1" x14ac:dyDescent="0.25">
      <c r="B50" s="124"/>
      <c r="C50" s="98" t="s">
        <v>106</v>
      </c>
      <c r="D50" s="99"/>
      <c r="E50" s="103"/>
      <c r="F50" s="100"/>
      <c r="G50" s="100"/>
      <c r="H50" s="100"/>
      <c r="I50" s="100"/>
      <c r="J50" s="100"/>
      <c r="K50" s="100"/>
      <c r="L50" s="100"/>
      <c r="M50" s="100"/>
      <c r="N50" s="114" t="str">
        <f>IF(E50=Data!B141,"0.8",IF(E50=Data!B142,"1",IF(E50=Data!B143,"1.2",IF(E50=Data!B144,"1.4","0"))))</f>
        <v>0</v>
      </c>
    </row>
    <row r="51" spans="2:14" s="84" customFormat="1" ht="24.95" customHeight="1" x14ac:dyDescent="0.25">
      <c r="B51" s="125"/>
      <c r="C51" s="98" t="s">
        <v>200</v>
      </c>
      <c r="D51" s="99"/>
      <c r="E51" s="104"/>
      <c r="F51" s="100"/>
      <c r="G51" s="100"/>
      <c r="H51" s="100"/>
      <c r="I51" s="100"/>
      <c r="J51" s="100"/>
      <c r="K51" s="100"/>
      <c r="L51" s="100"/>
      <c r="M51" s="100"/>
      <c r="N51" s="114" t="str">
        <f>IF(E51=Data!B146,"0.8",IF(E51=Data!B147,"1",IF(E51=Data!B148,"1.2","0")))</f>
        <v>0</v>
      </c>
    </row>
    <row r="52" spans="2:14" s="84" customFormat="1" ht="24.95" customHeight="1" x14ac:dyDescent="0.25">
      <c r="B52" s="123" t="s">
        <v>201</v>
      </c>
      <c r="C52" s="98" t="s">
        <v>95</v>
      </c>
      <c r="D52" s="99"/>
      <c r="E52" s="100" t="s">
        <v>129</v>
      </c>
      <c r="F52" s="100"/>
      <c r="G52" s="100"/>
      <c r="H52" s="100"/>
      <c r="I52" s="100"/>
      <c r="J52" s="100"/>
      <c r="K52" s="100"/>
      <c r="L52" s="100"/>
      <c r="M52" s="100"/>
      <c r="N52" s="114" t="str">
        <f>IF(E52=Data!B150,"0.5",IF(E52=Data!B151,"0.6",IF(E52=Data!B152,"0.7","0")))</f>
        <v>0.5</v>
      </c>
    </row>
    <row r="53" spans="2:14" s="84" customFormat="1" ht="24.95" customHeight="1" x14ac:dyDescent="0.25">
      <c r="B53" s="124"/>
      <c r="C53" s="98" t="s">
        <v>135</v>
      </c>
      <c r="D53" s="99"/>
      <c r="E53" s="100" t="s">
        <v>417</v>
      </c>
      <c r="F53" s="100"/>
      <c r="G53" s="100"/>
      <c r="H53" s="100"/>
      <c r="I53" s="100"/>
      <c r="J53" s="100"/>
      <c r="K53" s="100"/>
      <c r="L53" s="100"/>
      <c r="M53" s="100"/>
      <c r="N53" s="114" t="str">
        <f>IF(E53=Data!B154,"0.4",IF(E53=Data!B155,"0.6",IF(E53=Data!B156,"0.8",IF(E53=Data!B157,"1",IF(E53=Data!B158,"1.2","0")))))</f>
        <v>0.8</v>
      </c>
    </row>
    <row r="54" spans="2:14" s="84" customFormat="1" ht="24.95" customHeight="1" x14ac:dyDescent="0.25">
      <c r="B54" s="125"/>
      <c r="C54" s="98" t="s">
        <v>202</v>
      </c>
      <c r="D54" s="99"/>
      <c r="E54" s="100" t="s">
        <v>436</v>
      </c>
      <c r="F54" s="100"/>
      <c r="G54" s="100"/>
      <c r="H54" s="100"/>
      <c r="I54" s="100"/>
      <c r="J54" s="100"/>
      <c r="K54" s="100"/>
      <c r="L54" s="100"/>
      <c r="M54" s="100"/>
      <c r="N54" s="113" t="str">
        <f>IF(E54=Data!B160,"0.8",IF(E54=Data!B161,"1.2",IF(E54=Data!B162,"1.4","0")))</f>
        <v>1.2</v>
      </c>
    </row>
    <row r="55" spans="2:14" ht="8.25" customHeight="1" x14ac:dyDescent="0.35">
      <c r="B55" s="126"/>
      <c r="C55" s="126"/>
      <c r="D55" s="126"/>
      <c r="E55" s="126"/>
      <c r="F55" s="126"/>
      <c r="G55" s="126"/>
      <c r="H55" s="126"/>
      <c r="I55" s="126"/>
      <c r="J55" s="126"/>
      <c r="K55" s="126"/>
      <c r="L55" s="126"/>
      <c r="M55" s="126"/>
      <c r="N55" s="126"/>
    </row>
    <row r="56" spans="2:14" s="84" customFormat="1" ht="24.95" customHeight="1" x14ac:dyDescent="0.25">
      <c r="B56" s="100" t="s">
        <v>59</v>
      </c>
      <c r="C56" s="98"/>
      <c r="D56" s="99"/>
      <c r="E56" s="100" t="s">
        <v>419</v>
      </c>
      <c r="F56" s="100"/>
      <c r="G56" s="100"/>
      <c r="H56" s="100"/>
      <c r="I56" s="100"/>
      <c r="J56" s="100"/>
      <c r="K56" s="100"/>
      <c r="L56" s="100"/>
      <c r="M56" s="100"/>
      <c r="N56" s="113">
        <v>0.5</v>
      </c>
    </row>
    <row r="57" spans="2:14" ht="8.25" customHeight="1" x14ac:dyDescent="0.35">
      <c r="B57" s="126"/>
      <c r="C57" s="126"/>
      <c r="D57" s="126"/>
      <c r="E57" s="126"/>
      <c r="F57" s="126"/>
      <c r="G57" s="126"/>
      <c r="H57" s="126"/>
      <c r="I57" s="126"/>
      <c r="J57" s="126"/>
      <c r="K57" s="126"/>
      <c r="L57" s="126"/>
      <c r="M57" s="126"/>
      <c r="N57" s="126"/>
    </row>
    <row r="58" spans="2:14" s="84" customFormat="1" ht="18.75" customHeight="1" thickBot="1" x14ac:dyDescent="0.3">
      <c r="B58" s="127" t="s">
        <v>65</v>
      </c>
      <c r="C58" s="127"/>
      <c r="D58" s="127"/>
      <c r="E58" s="127"/>
      <c r="L58" s="128" t="s">
        <v>203</v>
      </c>
      <c r="M58" s="128"/>
      <c r="N58" s="138">
        <f>N16+N17+N19+N21+N23+N25+N26+N28+N29+N30+N31+N32+N33+N34+N35+N37+N38+N39+N40+N42+N43+N44+N45+N47+N49+N50+N51+N52+N53+N54+N56</f>
        <v>22.699999999999996</v>
      </c>
    </row>
    <row r="59" spans="2:14" s="84" customFormat="1" ht="31.5" customHeight="1" x14ac:dyDescent="0.25">
      <c r="B59" s="105"/>
      <c r="C59" s="106" t="s">
        <v>68</v>
      </c>
      <c r="D59" s="107" t="s">
        <v>69</v>
      </c>
      <c r="E59" s="105"/>
      <c r="L59" s="129"/>
      <c r="M59" s="129"/>
      <c r="N59" s="139"/>
    </row>
    <row r="60" spans="2:14" s="84" customFormat="1" ht="24.95" customHeight="1" x14ac:dyDescent="0.25">
      <c r="B60" s="101"/>
      <c r="C60" s="92" t="s">
        <v>71</v>
      </c>
      <c r="D60" s="92" t="s">
        <v>72</v>
      </c>
      <c r="E60" s="101"/>
      <c r="L60" s="121" t="str">
        <f>C59</f>
        <v>Hazard ratings</v>
      </c>
      <c r="M60" s="121"/>
      <c r="N60" s="121"/>
    </row>
    <row r="61" spans="2:14" s="84" customFormat="1" ht="24.95" customHeight="1" x14ac:dyDescent="0.25">
      <c r="C61" s="91" t="s">
        <v>75</v>
      </c>
      <c r="D61" s="91" t="s">
        <v>76</v>
      </c>
      <c r="L61" s="122" t="str">
        <f>IF(N58&gt;14,IF(N58&lt;=20.3,C63,IF(N58&lt;=26.5,C62,IF(N58&lt;=31.9,C61,C60))),C64)</f>
        <v>Moderate Hazard</v>
      </c>
      <c r="M61" s="122"/>
      <c r="N61" s="122"/>
    </row>
    <row r="62" spans="2:14" s="84" customFormat="1" ht="24.95" customHeight="1" x14ac:dyDescent="0.25">
      <c r="C62" s="91" t="s">
        <v>78</v>
      </c>
      <c r="D62" s="91" t="s">
        <v>79</v>
      </c>
    </row>
    <row r="63" spans="2:14" s="84" customFormat="1" ht="24.95" customHeight="1" x14ac:dyDescent="0.25">
      <c r="C63" s="91" t="s">
        <v>81</v>
      </c>
      <c r="D63" s="91" t="s">
        <v>82</v>
      </c>
    </row>
    <row r="64" spans="2:14" ht="18.75" thickBot="1" x14ac:dyDescent="0.4">
      <c r="B64" s="108"/>
      <c r="C64" s="109" t="s">
        <v>85</v>
      </c>
      <c r="D64" s="109" t="s">
        <v>86</v>
      </c>
      <c r="E64" s="108"/>
    </row>
    <row r="77" spans="5:17" x14ac:dyDescent="0.35">
      <c r="E77" s="149" t="s">
        <v>40</v>
      </c>
      <c r="F77" s="149"/>
      <c r="G77" s="149"/>
      <c r="H77" s="149"/>
      <c r="I77" s="149"/>
      <c r="J77" s="149"/>
      <c r="K77" s="149"/>
      <c r="L77" s="149"/>
      <c r="M77" s="149"/>
      <c r="N77" s="149">
        <v>0.9</v>
      </c>
      <c r="O77" s="149"/>
      <c r="P77" s="149"/>
      <c r="Q77" s="149"/>
    </row>
    <row r="78" spans="5:17" x14ac:dyDescent="0.35">
      <c r="E78" s="149"/>
      <c r="F78" s="149"/>
      <c r="G78" s="149"/>
      <c r="H78" s="149"/>
      <c r="I78" s="149"/>
      <c r="J78" s="149"/>
      <c r="K78" s="149"/>
      <c r="L78" s="149"/>
      <c r="M78" s="149"/>
      <c r="N78" s="149"/>
      <c r="O78" s="149"/>
      <c r="P78" s="149"/>
      <c r="Q78" s="149"/>
    </row>
    <row r="79" spans="5:17" x14ac:dyDescent="0.35">
      <c r="E79" s="149"/>
      <c r="F79" s="149"/>
      <c r="G79" s="149"/>
      <c r="H79" s="149"/>
      <c r="I79" s="149"/>
      <c r="J79" s="149"/>
      <c r="K79" s="149"/>
      <c r="L79" s="149"/>
      <c r="M79" s="149"/>
      <c r="N79" s="149"/>
      <c r="O79" s="149"/>
      <c r="P79" s="149"/>
      <c r="Q79" s="149"/>
    </row>
    <row r="80" spans="5:17" x14ac:dyDescent="0.35">
      <c r="E80" s="149"/>
      <c r="F80" s="149"/>
      <c r="G80" s="149"/>
      <c r="H80" s="149"/>
      <c r="I80" s="149"/>
      <c r="J80" s="149"/>
      <c r="K80" s="149"/>
      <c r="L80" s="149"/>
      <c r="M80" s="149"/>
      <c r="N80" s="149"/>
      <c r="O80" s="149"/>
      <c r="P80" s="149"/>
      <c r="Q80" s="149"/>
    </row>
    <row r="81" spans="5:17" x14ac:dyDescent="0.35">
      <c r="E81" s="149"/>
      <c r="F81" s="149"/>
      <c r="G81" s="149"/>
      <c r="H81" s="149"/>
      <c r="I81" s="149"/>
      <c r="J81" s="149"/>
      <c r="K81" s="149"/>
      <c r="L81" s="149"/>
      <c r="M81" s="149"/>
      <c r="N81" s="149"/>
      <c r="O81" s="149"/>
      <c r="P81" s="149"/>
      <c r="Q81" s="149"/>
    </row>
    <row r="82" spans="5:17" x14ac:dyDescent="0.35">
      <c r="E82" s="149"/>
      <c r="F82" s="149"/>
      <c r="G82" s="149"/>
      <c r="H82" s="149"/>
      <c r="I82" s="149"/>
      <c r="J82" s="149"/>
      <c r="K82" s="149"/>
      <c r="L82" s="149"/>
      <c r="M82" s="149"/>
      <c r="N82" s="149"/>
      <c r="O82" s="149"/>
      <c r="P82" s="149"/>
      <c r="Q82" s="149"/>
    </row>
    <row r="83" spans="5:17" x14ac:dyDescent="0.35">
      <c r="E83" s="149"/>
      <c r="F83" s="149"/>
      <c r="G83" s="149"/>
      <c r="H83" s="149"/>
      <c r="I83" s="149"/>
      <c r="J83" s="149"/>
      <c r="K83" s="149"/>
      <c r="L83" s="149"/>
      <c r="M83" s="149"/>
      <c r="N83" s="149"/>
      <c r="O83" s="149"/>
      <c r="P83" s="149"/>
      <c r="Q83" s="149"/>
    </row>
    <row r="84" spans="5:17" x14ac:dyDescent="0.35">
      <c r="E84" s="149"/>
      <c r="F84" s="149"/>
      <c r="G84" s="149"/>
      <c r="H84" s="149"/>
      <c r="I84" s="149"/>
      <c r="J84" s="149"/>
      <c r="K84" s="149"/>
      <c r="L84" s="149"/>
      <c r="M84" s="149"/>
      <c r="N84" s="149"/>
      <c r="O84" s="149"/>
      <c r="P84" s="149"/>
      <c r="Q84" s="149"/>
    </row>
    <row r="85" spans="5:17" x14ac:dyDescent="0.35">
      <c r="E85" s="149"/>
      <c r="F85" s="149"/>
      <c r="G85" s="149"/>
      <c r="H85" s="149"/>
      <c r="I85" s="149"/>
      <c r="J85" s="149"/>
      <c r="K85" s="149"/>
      <c r="L85" s="149"/>
      <c r="M85" s="149"/>
      <c r="N85" s="149"/>
      <c r="O85" s="149"/>
      <c r="P85" s="149"/>
      <c r="Q85" s="149"/>
    </row>
    <row r="86" spans="5:17" x14ac:dyDescent="0.35">
      <c r="E86" s="149"/>
      <c r="F86" s="149"/>
      <c r="G86" s="149"/>
      <c r="H86" s="149"/>
      <c r="I86" s="149"/>
      <c r="J86" s="149"/>
      <c r="K86" s="149"/>
      <c r="L86" s="149"/>
      <c r="M86" s="149"/>
      <c r="N86" s="149"/>
      <c r="O86" s="149"/>
      <c r="P86" s="149"/>
      <c r="Q86" s="149"/>
    </row>
    <row r="87" spans="5:17" x14ac:dyDescent="0.35">
      <c r="E87" s="149"/>
      <c r="F87" s="149"/>
      <c r="G87" s="149"/>
      <c r="H87" s="149"/>
      <c r="I87" s="149"/>
      <c r="J87" s="149"/>
      <c r="K87" s="149"/>
      <c r="L87" s="149"/>
      <c r="M87" s="149"/>
      <c r="N87" s="149"/>
      <c r="O87" s="149"/>
      <c r="P87" s="149"/>
      <c r="Q87" s="149"/>
    </row>
    <row r="88" spans="5:17" x14ac:dyDescent="0.35">
      <c r="E88" s="149"/>
      <c r="F88" s="149"/>
      <c r="G88" s="149"/>
      <c r="H88" s="149"/>
      <c r="I88" s="149"/>
      <c r="J88" s="149"/>
      <c r="K88" s="149"/>
      <c r="L88" s="149"/>
      <c r="M88" s="149"/>
      <c r="N88" s="149"/>
      <c r="O88" s="149"/>
      <c r="P88" s="149"/>
      <c r="Q88" s="149"/>
    </row>
    <row r="89" spans="5:17" x14ac:dyDescent="0.35">
      <c r="E89" s="149"/>
      <c r="F89" s="149"/>
      <c r="G89" s="149"/>
      <c r="H89" s="149"/>
      <c r="I89" s="149"/>
      <c r="J89" s="149"/>
      <c r="K89" s="149"/>
      <c r="L89" s="149"/>
      <c r="M89" s="149"/>
      <c r="N89" s="149"/>
      <c r="O89" s="149"/>
      <c r="P89" s="149"/>
      <c r="Q89" s="149"/>
    </row>
    <row r="90" spans="5:17" x14ac:dyDescent="0.35">
      <c r="E90" s="149"/>
      <c r="F90" s="149"/>
      <c r="G90" s="149"/>
      <c r="H90" s="149"/>
      <c r="I90" s="149"/>
      <c r="J90" s="149"/>
      <c r="K90" s="149"/>
      <c r="L90" s="149"/>
      <c r="M90" s="149"/>
      <c r="N90" s="149"/>
      <c r="O90" s="149"/>
      <c r="P90" s="149"/>
      <c r="Q90" s="149"/>
    </row>
    <row r="91" spans="5:17" x14ac:dyDescent="0.35">
      <c r="E91" s="149"/>
      <c r="F91" s="149"/>
      <c r="G91" s="149"/>
      <c r="H91" s="149"/>
      <c r="I91" s="149"/>
      <c r="J91" s="149"/>
      <c r="K91" s="149"/>
      <c r="L91" s="149"/>
      <c r="M91" s="149"/>
      <c r="N91" s="149"/>
      <c r="O91" s="149"/>
      <c r="P91" s="149"/>
      <c r="Q91" s="149"/>
    </row>
    <row r="92" spans="5:17" x14ac:dyDescent="0.35">
      <c r="E92" s="149" t="s">
        <v>37</v>
      </c>
      <c r="F92" s="149"/>
      <c r="G92" s="149"/>
      <c r="H92" s="149"/>
      <c r="I92" s="149"/>
      <c r="J92" s="149"/>
      <c r="K92" s="149"/>
      <c r="L92" s="149"/>
      <c r="M92" s="149"/>
      <c r="N92" s="149">
        <v>0.6</v>
      </c>
      <c r="O92" s="149"/>
      <c r="P92" s="149"/>
      <c r="Q92" s="149"/>
    </row>
    <row r="93" spans="5:17" x14ac:dyDescent="0.35">
      <c r="E93" s="149"/>
      <c r="F93" s="149"/>
      <c r="G93" s="149"/>
      <c r="H93" s="149"/>
      <c r="I93" s="149"/>
      <c r="J93" s="149"/>
      <c r="K93" s="149"/>
      <c r="L93" s="149"/>
      <c r="M93" s="149"/>
      <c r="N93" s="149"/>
      <c r="O93" s="149"/>
      <c r="P93" s="149"/>
      <c r="Q93" s="149"/>
    </row>
    <row r="94" spans="5:17" x14ac:dyDescent="0.35">
      <c r="E94" s="149"/>
      <c r="F94" s="149"/>
      <c r="G94" s="149"/>
      <c r="H94" s="149"/>
      <c r="I94" s="149"/>
      <c r="J94" s="149"/>
      <c r="K94" s="149"/>
      <c r="L94" s="149"/>
      <c r="M94" s="149"/>
      <c r="N94" s="149"/>
      <c r="O94" s="149"/>
      <c r="P94" s="149"/>
      <c r="Q94" s="149"/>
    </row>
    <row r="95" spans="5:17" x14ac:dyDescent="0.35">
      <c r="E95" s="149"/>
      <c r="F95" s="149"/>
      <c r="G95" s="149"/>
      <c r="H95" s="149"/>
      <c r="I95" s="149"/>
      <c r="J95" s="149"/>
      <c r="K95" s="149"/>
      <c r="L95" s="149"/>
      <c r="M95" s="149"/>
      <c r="N95" s="149"/>
      <c r="O95" s="149"/>
      <c r="P95" s="149"/>
      <c r="Q95" s="149"/>
    </row>
    <row r="96" spans="5:17" x14ac:dyDescent="0.35">
      <c r="E96" s="149"/>
      <c r="F96" s="149"/>
      <c r="G96" s="149"/>
      <c r="H96" s="149"/>
      <c r="I96" s="149"/>
      <c r="J96" s="149"/>
      <c r="K96" s="149"/>
      <c r="L96" s="149"/>
      <c r="M96" s="149"/>
      <c r="N96" s="149"/>
      <c r="O96" s="149"/>
      <c r="P96" s="149"/>
      <c r="Q96" s="149"/>
    </row>
    <row r="97" spans="5:17" x14ac:dyDescent="0.35">
      <c r="E97" s="149"/>
      <c r="F97" s="149"/>
      <c r="G97" s="149"/>
      <c r="H97" s="149"/>
      <c r="I97" s="149"/>
      <c r="J97" s="149"/>
      <c r="K97" s="149"/>
      <c r="L97" s="149"/>
      <c r="M97" s="149"/>
      <c r="N97" s="149"/>
      <c r="O97" s="149"/>
      <c r="P97" s="149"/>
      <c r="Q97" s="149"/>
    </row>
    <row r="98" spans="5:17" x14ac:dyDescent="0.35">
      <c r="E98" s="149"/>
      <c r="F98" s="149"/>
      <c r="G98" s="149"/>
      <c r="H98" s="149"/>
      <c r="I98" s="149"/>
      <c r="J98" s="149"/>
      <c r="K98" s="149"/>
      <c r="L98" s="149"/>
      <c r="M98" s="149"/>
      <c r="N98" s="149"/>
      <c r="O98" s="149"/>
      <c r="P98" s="149"/>
      <c r="Q98" s="149"/>
    </row>
    <row r="99" spans="5:17" x14ac:dyDescent="0.35">
      <c r="E99" s="149"/>
      <c r="F99" s="149"/>
      <c r="G99" s="149"/>
      <c r="H99" s="149"/>
      <c r="I99" s="149"/>
      <c r="J99" s="149"/>
      <c r="K99" s="149"/>
      <c r="L99" s="149"/>
      <c r="M99" s="149"/>
      <c r="N99" s="149"/>
      <c r="O99" s="149"/>
      <c r="P99" s="149"/>
      <c r="Q99" s="149"/>
    </row>
    <row r="100" spans="5:17" x14ac:dyDescent="0.35">
      <c r="E100" s="149"/>
      <c r="F100" s="149"/>
      <c r="G100" s="149"/>
      <c r="H100" s="149"/>
      <c r="I100" s="149"/>
      <c r="J100" s="149"/>
      <c r="K100" s="149"/>
      <c r="L100" s="149"/>
      <c r="M100" s="149"/>
      <c r="N100" s="149"/>
      <c r="O100" s="149"/>
      <c r="P100" s="149"/>
      <c r="Q100" s="149"/>
    </row>
    <row r="101" spans="5:17" x14ac:dyDescent="0.35">
      <c r="E101" s="149"/>
      <c r="F101" s="149"/>
      <c r="G101" s="149"/>
      <c r="H101" s="149"/>
      <c r="I101" s="149"/>
      <c r="J101" s="149"/>
      <c r="K101" s="149"/>
      <c r="L101" s="149"/>
      <c r="M101" s="149"/>
      <c r="N101" s="149"/>
      <c r="O101" s="149"/>
      <c r="P101" s="149"/>
      <c r="Q101" s="149"/>
    </row>
    <row r="102" spans="5:17" x14ac:dyDescent="0.35">
      <c r="E102" s="149"/>
      <c r="F102" s="149"/>
      <c r="G102" s="149"/>
      <c r="H102" s="149"/>
      <c r="I102" s="149"/>
      <c r="J102" s="149"/>
      <c r="K102" s="149"/>
      <c r="L102" s="149"/>
      <c r="M102" s="149"/>
      <c r="N102" s="149"/>
      <c r="O102" s="149"/>
      <c r="P102" s="149"/>
      <c r="Q102" s="149"/>
    </row>
    <row r="103" spans="5:17" x14ac:dyDescent="0.35">
      <c r="E103" s="149"/>
      <c r="F103" s="149"/>
      <c r="G103" s="149"/>
      <c r="H103" s="149"/>
      <c r="I103" s="149"/>
      <c r="J103" s="149"/>
      <c r="K103" s="149"/>
      <c r="L103" s="149"/>
      <c r="M103" s="149"/>
      <c r="N103" s="149"/>
      <c r="O103" s="149"/>
      <c r="P103" s="149"/>
      <c r="Q103" s="149"/>
    </row>
    <row r="104" spans="5:17" x14ac:dyDescent="0.35">
      <c r="E104" s="149"/>
      <c r="F104" s="149"/>
      <c r="G104" s="149"/>
      <c r="H104" s="149"/>
      <c r="I104" s="149"/>
      <c r="J104" s="149"/>
      <c r="K104" s="149"/>
      <c r="L104" s="149"/>
      <c r="M104" s="149"/>
      <c r="N104" s="149"/>
      <c r="O104" s="149"/>
      <c r="P104" s="149"/>
      <c r="Q104" s="149"/>
    </row>
    <row r="105" spans="5:17" x14ac:dyDescent="0.35">
      <c r="E105" s="149"/>
      <c r="F105" s="149"/>
      <c r="G105" s="149"/>
      <c r="H105" s="149"/>
      <c r="I105" s="149"/>
      <c r="J105" s="149"/>
      <c r="K105" s="149"/>
      <c r="L105" s="149"/>
      <c r="M105" s="149"/>
      <c r="N105" s="149"/>
      <c r="O105" s="149"/>
      <c r="P105" s="149"/>
      <c r="Q105" s="149"/>
    </row>
    <row r="106" spans="5:17" x14ac:dyDescent="0.35">
      <c r="E106" s="149"/>
      <c r="F106" s="149"/>
      <c r="G106" s="149"/>
      <c r="H106" s="149"/>
      <c r="I106" s="149"/>
      <c r="J106" s="149"/>
      <c r="K106" s="149"/>
      <c r="L106" s="149"/>
      <c r="M106" s="149"/>
      <c r="N106" s="149"/>
      <c r="O106" s="149"/>
      <c r="P106" s="149"/>
      <c r="Q106" s="149"/>
    </row>
    <row r="107" spans="5:17" x14ac:dyDescent="0.35">
      <c r="E107" s="149" t="s">
        <v>47</v>
      </c>
      <c r="F107" s="149"/>
      <c r="G107" s="149"/>
      <c r="H107" s="149"/>
      <c r="I107" s="149"/>
      <c r="J107" s="149"/>
      <c r="K107" s="149"/>
      <c r="L107" s="149"/>
      <c r="M107" s="149"/>
      <c r="N107" s="149">
        <v>3</v>
      </c>
      <c r="O107" s="149"/>
      <c r="P107" s="149"/>
      <c r="Q107" s="149"/>
    </row>
    <row r="108" spans="5:17" x14ac:dyDescent="0.35">
      <c r="E108" s="149"/>
      <c r="F108" s="149"/>
      <c r="G108" s="149"/>
      <c r="H108" s="149"/>
      <c r="I108" s="149"/>
      <c r="J108" s="149"/>
      <c r="K108" s="149"/>
      <c r="L108" s="149"/>
      <c r="M108" s="149"/>
      <c r="N108" s="149"/>
      <c r="O108" s="149"/>
      <c r="P108" s="149"/>
      <c r="Q108" s="149"/>
    </row>
    <row r="109" spans="5:17" x14ac:dyDescent="0.35">
      <c r="E109" s="149"/>
      <c r="F109" s="149"/>
      <c r="G109" s="149"/>
      <c r="H109" s="149"/>
      <c r="I109" s="149"/>
      <c r="J109" s="149"/>
      <c r="K109" s="149"/>
      <c r="L109" s="149"/>
      <c r="M109" s="149"/>
      <c r="N109" s="149"/>
      <c r="O109" s="149"/>
      <c r="P109" s="149"/>
      <c r="Q109" s="149"/>
    </row>
    <row r="110" spans="5:17" x14ac:dyDescent="0.35">
      <c r="E110" s="149"/>
      <c r="F110" s="149"/>
      <c r="G110" s="149"/>
      <c r="H110" s="149"/>
      <c r="I110" s="149"/>
      <c r="J110" s="149"/>
      <c r="K110" s="149"/>
      <c r="L110" s="149"/>
      <c r="M110" s="149"/>
      <c r="N110" s="149"/>
      <c r="O110" s="149"/>
      <c r="P110" s="149"/>
      <c r="Q110" s="149"/>
    </row>
    <row r="111" spans="5:17" x14ac:dyDescent="0.35">
      <c r="E111" s="149"/>
      <c r="F111" s="149"/>
      <c r="G111" s="149"/>
      <c r="H111" s="149"/>
      <c r="I111" s="149"/>
      <c r="J111" s="149"/>
      <c r="K111" s="149"/>
      <c r="L111" s="149"/>
      <c r="M111" s="149"/>
      <c r="N111" s="149"/>
      <c r="O111" s="149"/>
      <c r="P111" s="149"/>
      <c r="Q111" s="149"/>
    </row>
    <row r="112" spans="5:17" x14ac:dyDescent="0.35">
      <c r="E112" s="149"/>
      <c r="F112" s="149"/>
      <c r="G112" s="149"/>
      <c r="H112" s="149"/>
      <c r="I112" s="149"/>
      <c r="J112" s="149"/>
      <c r="K112" s="149"/>
      <c r="L112" s="149"/>
      <c r="M112" s="149"/>
      <c r="N112" s="149"/>
      <c r="O112" s="149"/>
      <c r="P112" s="149"/>
      <c r="Q112" s="149"/>
    </row>
    <row r="113" spans="5:17" x14ac:dyDescent="0.35">
      <c r="E113" s="149"/>
      <c r="F113" s="149"/>
      <c r="G113" s="149"/>
      <c r="H113" s="149"/>
      <c r="I113" s="149"/>
      <c r="J113" s="149"/>
      <c r="K113" s="149"/>
      <c r="L113" s="149"/>
      <c r="M113" s="149"/>
      <c r="N113" s="149"/>
      <c r="O113" s="149"/>
      <c r="P113" s="149"/>
      <c r="Q113" s="149"/>
    </row>
    <row r="114" spans="5:17" x14ac:dyDescent="0.35">
      <c r="E114" s="149"/>
      <c r="F114" s="149"/>
      <c r="G114" s="149"/>
      <c r="H114" s="149"/>
      <c r="I114" s="149"/>
      <c r="J114" s="149"/>
      <c r="K114" s="149"/>
      <c r="L114" s="149"/>
      <c r="M114" s="149"/>
      <c r="N114" s="149"/>
      <c r="O114" s="149"/>
      <c r="P114" s="149"/>
      <c r="Q114" s="149"/>
    </row>
    <row r="115" spans="5:17" x14ac:dyDescent="0.35">
      <c r="E115" s="149"/>
      <c r="F115" s="149"/>
      <c r="G115" s="149"/>
      <c r="H115" s="149"/>
      <c r="I115" s="149"/>
      <c r="J115" s="149"/>
      <c r="K115" s="149"/>
      <c r="L115" s="149"/>
      <c r="M115" s="149"/>
      <c r="N115" s="149"/>
      <c r="O115" s="149"/>
      <c r="P115" s="149"/>
      <c r="Q115" s="149"/>
    </row>
    <row r="116" spans="5:17" x14ac:dyDescent="0.35">
      <c r="E116" s="149"/>
      <c r="F116" s="149"/>
      <c r="G116" s="149"/>
      <c r="H116" s="149"/>
      <c r="I116" s="149"/>
      <c r="J116" s="149"/>
      <c r="K116" s="149"/>
      <c r="L116" s="149"/>
      <c r="M116" s="149"/>
      <c r="N116" s="149"/>
      <c r="O116" s="149"/>
      <c r="P116" s="149"/>
      <c r="Q116" s="149"/>
    </row>
    <row r="117" spans="5:17" x14ac:dyDescent="0.35">
      <c r="E117" s="149"/>
      <c r="F117" s="149"/>
      <c r="G117" s="149"/>
      <c r="H117" s="149"/>
      <c r="I117" s="149"/>
      <c r="J117" s="149"/>
      <c r="K117" s="149"/>
      <c r="L117" s="149"/>
      <c r="M117" s="149"/>
      <c r="N117" s="149"/>
      <c r="O117" s="149"/>
      <c r="P117" s="149"/>
      <c r="Q117" s="149"/>
    </row>
    <row r="118" spans="5:17" x14ac:dyDescent="0.35">
      <c r="E118" s="149"/>
      <c r="F118" s="149"/>
      <c r="G118" s="149"/>
      <c r="H118" s="149"/>
      <c r="I118" s="149"/>
      <c r="J118" s="149"/>
      <c r="K118" s="149"/>
      <c r="L118" s="149"/>
      <c r="M118" s="149"/>
      <c r="N118" s="149"/>
      <c r="O118" s="149"/>
      <c r="P118" s="149"/>
      <c r="Q118" s="149"/>
    </row>
    <row r="119" spans="5:17" x14ac:dyDescent="0.35">
      <c r="E119" s="149"/>
      <c r="F119" s="149"/>
      <c r="G119" s="149"/>
      <c r="H119" s="149"/>
      <c r="I119" s="149"/>
      <c r="J119" s="149"/>
      <c r="K119" s="149"/>
      <c r="L119" s="149"/>
      <c r="M119" s="149"/>
      <c r="N119" s="149"/>
      <c r="O119" s="149"/>
      <c r="P119" s="149"/>
      <c r="Q119" s="149"/>
    </row>
    <row r="120" spans="5:17" x14ac:dyDescent="0.35">
      <c r="E120" s="149"/>
      <c r="F120" s="149"/>
      <c r="G120" s="149"/>
      <c r="H120" s="149"/>
      <c r="I120" s="149"/>
      <c r="J120" s="149"/>
      <c r="K120" s="149"/>
      <c r="L120" s="149"/>
      <c r="M120" s="149"/>
      <c r="N120" s="149"/>
      <c r="O120" s="149"/>
      <c r="P120" s="149"/>
      <c r="Q120" s="149"/>
    </row>
    <row r="121" spans="5:17" x14ac:dyDescent="0.35">
      <c r="E121" s="149"/>
      <c r="F121" s="149"/>
      <c r="G121" s="149"/>
      <c r="H121" s="149"/>
      <c r="I121" s="149"/>
      <c r="J121" s="149"/>
      <c r="K121" s="149"/>
      <c r="L121" s="149"/>
      <c r="M121" s="149"/>
      <c r="N121" s="149"/>
      <c r="O121" s="149"/>
      <c r="P121" s="149"/>
      <c r="Q121" s="149"/>
    </row>
    <row r="122" spans="5:17" x14ac:dyDescent="0.35">
      <c r="E122" s="149" t="s">
        <v>47</v>
      </c>
      <c r="F122" s="149"/>
      <c r="G122" s="149"/>
      <c r="H122" s="149"/>
      <c r="I122" s="149"/>
      <c r="J122" s="149"/>
      <c r="K122" s="149"/>
      <c r="L122" s="149"/>
      <c r="M122" s="149"/>
      <c r="N122" s="149">
        <v>3</v>
      </c>
      <c r="O122" s="149"/>
      <c r="P122" s="149"/>
      <c r="Q122" s="149"/>
    </row>
    <row r="123" spans="5:17" x14ac:dyDescent="0.35">
      <c r="E123" s="149"/>
      <c r="F123" s="149"/>
      <c r="G123" s="149"/>
      <c r="H123" s="149"/>
      <c r="I123" s="149"/>
      <c r="J123" s="149"/>
      <c r="K123" s="149"/>
      <c r="L123" s="149"/>
      <c r="M123" s="149"/>
      <c r="N123" s="149"/>
      <c r="O123" s="149"/>
      <c r="P123" s="149"/>
      <c r="Q123" s="149"/>
    </row>
    <row r="124" spans="5:17" x14ac:dyDescent="0.35">
      <c r="E124" s="149"/>
      <c r="F124" s="149"/>
      <c r="G124" s="149"/>
      <c r="H124" s="149"/>
      <c r="I124" s="149"/>
      <c r="J124" s="149"/>
      <c r="K124" s="149"/>
      <c r="L124" s="149"/>
      <c r="M124" s="149"/>
      <c r="N124" s="149"/>
      <c r="O124" s="149"/>
      <c r="P124" s="149"/>
      <c r="Q124" s="149"/>
    </row>
    <row r="125" spans="5:17" x14ac:dyDescent="0.35">
      <c r="E125" s="149"/>
      <c r="F125" s="149"/>
      <c r="G125" s="149"/>
      <c r="H125" s="149"/>
      <c r="I125" s="149"/>
      <c r="J125" s="149"/>
      <c r="K125" s="149"/>
      <c r="L125" s="149"/>
      <c r="M125" s="149"/>
      <c r="N125" s="149"/>
      <c r="O125" s="149"/>
      <c r="P125" s="149"/>
      <c r="Q125" s="149"/>
    </row>
    <row r="126" spans="5:17" x14ac:dyDescent="0.35">
      <c r="E126" s="149"/>
      <c r="F126" s="149"/>
      <c r="G126" s="149"/>
      <c r="H126" s="149"/>
      <c r="I126" s="149"/>
      <c r="J126" s="149"/>
      <c r="K126" s="149"/>
      <c r="L126" s="149"/>
      <c r="M126" s="149"/>
      <c r="N126" s="149"/>
      <c r="O126" s="149"/>
      <c r="P126" s="149"/>
      <c r="Q126" s="149"/>
    </row>
    <row r="127" spans="5:17" x14ac:dyDescent="0.35">
      <c r="E127" s="149"/>
      <c r="F127" s="149"/>
      <c r="G127" s="149"/>
      <c r="H127" s="149"/>
      <c r="I127" s="149"/>
      <c r="J127" s="149"/>
      <c r="K127" s="149"/>
      <c r="L127" s="149"/>
      <c r="M127" s="149"/>
      <c r="N127" s="149"/>
      <c r="O127" s="149"/>
      <c r="P127" s="149"/>
      <c r="Q127" s="149"/>
    </row>
    <row r="128" spans="5:17" x14ac:dyDescent="0.35">
      <c r="E128" s="149"/>
      <c r="F128" s="149"/>
      <c r="G128" s="149"/>
      <c r="H128" s="149"/>
      <c r="I128" s="149"/>
      <c r="J128" s="149"/>
      <c r="K128" s="149"/>
      <c r="L128" s="149"/>
      <c r="M128" s="149"/>
      <c r="N128" s="149"/>
      <c r="O128" s="149"/>
      <c r="P128" s="149"/>
      <c r="Q128" s="149"/>
    </row>
    <row r="129" spans="5:17" x14ac:dyDescent="0.35">
      <c r="E129" s="149"/>
      <c r="F129" s="149"/>
      <c r="G129" s="149"/>
      <c r="H129" s="149"/>
      <c r="I129" s="149"/>
      <c r="J129" s="149"/>
      <c r="K129" s="149"/>
      <c r="L129" s="149"/>
      <c r="M129" s="149"/>
      <c r="N129" s="149"/>
      <c r="O129" s="149"/>
      <c r="P129" s="149"/>
      <c r="Q129" s="149"/>
    </row>
    <row r="130" spans="5:17" x14ac:dyDescent="0.35">
      <c r="E130" s="149"/>
      <c r="F130" s="149"/>
      <c r="G130" s="149"/>
      <c r="H130" s="149"/>
      <c r="I130" s="149"/>
      <c r="J130" s="149"/>
      <c r="K130" s="149"/>
      <c r="L130" s="149"/>
      <c r="M130" s="149"/>
      <c r="N130" s="149"/>
      <c r="O130" s="149"/>
      <c r="P130" s="149"/>
      <c r="Q130" s="149"/>
    </row>
    <row r="131" spans="5:17" x14ac:dyDescent="0.35">
      <c r="E131" s="149"/>
      <c r="F131" s="149"/>
      <c r="G131" s="149"/>
      <c r="H131" s="149"/>
      <c r="I131" s="149"/>
      <c r="J131" s="149"/>
      <c r="K131" s="149"/>
      <c r="L131" s="149"/>
      <c r="M131" s="149"/>
      <c r="N131" s="149"/>
      <c r="O131" s="149"/>
      <c r="P131" s="149"/>
      <c r="Q131" s="149"/>
    </row>
    <row r="132" spans="5:17" x14ac:dyDescent="0.35">
      <c r="E132" s="149"/>
      <c r="F132" s="149"/>
      <c r="G132" s="149"/>
      <c r="H132" s="149"/>
      <c r="I132" s="149"/>
      <c r="J132" s="149"/>
      <c r="K132" s="149"/>
      <c r="L132" s="149"/>
      <c r="M132" s="149"/>
      <c r="N132" s="149"/>
      <c r="O132" s="149"/>
      <c r="P132" s="149"/>
      <c r="Q132" s="149"/>
    </row>
    <row r="133" spans="5:17" x14ac:dyDescent="0.35">
      <c r="E133" s="149"/>
      <c r="F133" s="149"/>
      <c r="G133" s="149"/>
      <c r="H133" s="149"/>
      <c r="I133" s="149"/>
      <c r="J133" s="149"/>
      <c r="K133" s="149"/>
      <c r="L133" s="149"/>
      <c r="M133" s="149"/>
      <c r="N133" s="149"/>
      <c r="O133" s="149"/>
      <c r="P133" s="149"/>
      <c r="Q133" s="149"/>
    </row>
    <row r="134" spans="5:17" x14ac:dyDescent="0.35">
      <c r="E134" s="149"/>
      <c r="F134" s="149"/>
      <c r="G134" s="149"/>
      <c r="H134" s="149"/>
      <c r="I134" s="149"/>
      <c r="J134" s="149"/>
      <c r="K134" s="149"/>
      <c r="L134" s="149"/>
      <c r="M134" s="149"/>
      <c r="N134" s="149"/>
      <c r="O134" s="149"/>
      <c r="P134" s="149"/>
      <c r="Q134" s="149"/>
    </row>
    <row r="135" spans="5:17" x14ac:dyDescent="0.35">
      <c r="E135" s="149"/>
      <c r="F135" s="149"/>
      <c r="G135" s="149"/>
      <c r="H135" s="149"/>
      <c r="I135" s="149"/>
      <c r="J135" s="149"/>
      <c r="K135" s="149"/>
      <c r="L135" s="149"/>
      <c r="M135" s="149"/>
      <c r="N135" s="149"/>
      <c r="O135" s="149"/>
      <c r="P135" s="149"/>
      <c r="Q135" s="149"/>
    </row>
    <row r="136" spans="5:17" x14ac:dyDescent="0.35">
      <c r="E136" s="149"/>
      <c r="F136" s="149"/>
      <c r="G136" s="149"/>
      <c r="H136" s="149"/>
      <c r="I136" s="149"/>
      <c r="J136" s="149"/>
      <c r="K136" s="149"/>
      <c r="L136" s="149"/>
      <c r="M136" s="149"/>
      <c r="N136" s="149"/>
      <c r="O136" s="149"/>
      <c r="P136" s="149"/>
      <c r="Q136" s="149"/>
    </row>
    <row r="137" spans="5:17" x14ac:dyDescent="0.35">
      <c r="E137" s="149"/>
      <c r="F137" s="149"/>
      <c r="G137" s="149"/>
      <c r="H137" s="149"/>
      <c r="I137" s="149"/>
      <c r="J137" s="149"/>
      <c r="K137" s="149"/>
      <c r="L137" s="149"/>
      <c r="M137" s="149"/>
      <c r="N137" s="149"/>
      <c r="O137" s="149"/>
      <c r="P137" s="149"/>
      <c r="Q137" s="149"/>
    </row>
    <row r="138" spans="5:17" x14ac:dyDescent="0.35">
      <c r="E138" s="149"/>
      <c r="F138" s="149"/>
      <c r="G138" s="149"/>
      <c r="H138" s="149"/>
      <c r="I138" s="149"/>
      <c r="J138" s="149"/>
      <c r="K138" s="149"/>
      <c r="L138" s="149"/>
      <c r="M138" s="149"/>
      <c r="N138" s="149"/>
      <c r="O138" s="149"/>
      <c r="P138" s="149"/>
      <c r="Q138" s="149"/>
    </row>
    <row r="139" spans="5:17" x14ac:dyDescent="0.35">
      <c r="E139" s="149"/>
      <c r="F139" s="149"/>
      <c r="G139" s="149"/>
      <c r="H139" s="149"/>
      <c r="I139" s="149"/>
      <c r="J139" s="149"/>
      <c r="K139" s="149"/>
      <c r="L139" s="149"/>
      <c r="M139" s="149"/>
      <c r="N139" s="149"/>
      <c r="O139" s="149"/>
      <c r="P139" s="149"/>
      <c r="Q139" s="149"/>
    </row>
    <row r="140" spans="5:17" x14ac:dyDescent="0.35">
      <c r="E140" s="149"/>
      <c r="F140" s="149"/>
      <c r="G140" s="149"/>
      <c r="H140" s="149"/>
      <c r="I140" s="149"/>
      <c r="J140" s="149"/>
      <c r="K140" s="149"/>
      <c r="L140" s="149"/>
      <c r="M140" s="149"/>
      <c r="N140" s="149"/>
      <c r="O140" s="149"/>
      <c r="P140" s="149"/>
      <c r="Q140" s="149"/>
    </row>
    <row r="141" spans="5:17" x14ac:dyDescent="0.35">
      <c r="E141" s="149"/>
      <c r="F141" s="149"/>
      <c r="G141" s="149"/>
      <c r="H141" s="149"/>
      <c r="I141" s="149"/>
      <c r="J141" s="149"/>
      <c r="K141" s="149"/>
      <c r="L141" s="149"/>
      <c r="M141" s="149"/>
      <c r="N141" s="149"/>
      <c r="O141" s="149"/>
      <c r="P141" s="149"/>
      <c r="Q141" s="149"/>
    </row>
    <row r="142" spans="5:17" x14ac:dyDescent="0.35">
      <c r="E142" s="149"/>
      <c r="F142" s="149"/>
      <c r="G142" s="149"/>
      <c r="H142" s="149"/>
      <c r="I142" s="149"/>
      <c r="J142" s="149"/>
      <c r="K142" s="149"/>
      <c r="L142" s="149"/>
      <c r="M142" s="149"/>
      <c r="N142" s="149"/>
      <c r="O142" s="149"/>
      <c r="P142" s="149"/>
      <c r="Q142" s="149"/>
    </row>
    <row r="143" spans="5:17" x14ac:dyDescent="0.35">
      <c r="E143" s="149"/>
      <c r="F143" s="149"/>
      <c r="G143" s="149"/>
      <c r="H143" s="149"/>
      <c r="I143" s="149"/>
      <c r="J143" s="149"/>
      <c r="K143" s="149"/>
      <c r="L143" s="149"/>
      <c r="M143" s="149"/>
      <c r="N143" s="149"/>
      <c r="O143" s="149"/>
      <c r="P143" s="149"/>
      <c r="Q143" s="149"/>
    </row>
    <row r="144" spans="5:17" x14ac:dyDescent="0.35">
      <c r="E144" s="149"/>
      <c r="F144" s="149"/>
      <c r="G144" s="149"/>
      <c r="H144" s="149"/>
      <c r="I144" s="149"/>
      <c r="J144" s="149"/>
      <c r="K144" s="149"/>
      <c r="L144" s="149"/>
      <c r="M144" s="149"/>
      <c r="N144" s="149"/>
      <c r="O144" s="149"/>
      <c r="P144" s="149"/>
      <c r="Q144" s="149"/>
    </row>
    <row r="145" spans="5:17" x14ac:dyDescent="0.35">
      <c r="E145" s="149"/>
      <c r="F145" s="149"/>
      <c r="G145" s="149"/>
      <c r="H145" s="149"/>
      <c r="I145" s="149"/>
      <c r="J145" s="149"/>
      <c r="K145" s="149"/>
      <c r="L145" s="149"/>
      <c r="M145" s="149"/>
      <c r="N145" s="149"/>
      <c r="O145" s="149"/>
      <c r="P145" s="149"/>
      <c r="Q145" s="149"/>
    </row>
    <row r="146" spans="5:17" x14ac:dyDescent="0.35">
      <c r="E146" s="149"/>
      <c r="F146" s="149"/>
      <c r="G146" s="149"/>
      <c r="H146" s="149"/>
      <c r="I146" s="149"/>
      <c r="J146" s="149"/>
      <c r="K146" s="149"/>
      <c r="L146" s="149"/>
      <c r="M146" s="149"/>
      <c r="N146" s="149"/>
      <c r="O146" s="149"/>
      <c r="P146" s="149"/>
      <c r="Q146" s="149"/>
    </row>
    <row r="147" spans="5:17" x14ac:dyDescent="0.35">
      <c r="E147" s="149"/>
      <c r="F147" s="149"/>
      <c r="G147" s="149"/>
      <c r="H147" s="149"/>
      <c r="I147" s="149"/>
      <c r="J147" s="149"/>
      <c r="K147" s="149"/>
      <c r="L147" s="149"/>
      <c r="M147" s="149"/>
      <c r="N147" s="149"/>
      <c r="O147" s="149"/>
      <c r="P147" s="149"/>
      <c r="Q147" s="149"/>
    </row>
    <row r="148" spans="5:17" x14ac:dyDescent="0.35">
      <c r="E148" s="149"/>
      <c r="F148" s="149"/>
      <c r="G148" s="149"/>
      <c r="H148" s="149"/>
      <c r="I148" s="149"/>
      <c r="J148" s="149"/>
      <c r="K148" s="149"/>
      <c r="L148" s="149"/>
      <c r="M148" s="149"/>
      <c r="N148" s="149"/>
      <c r="O148" s="149"/>
      <c r="P148" s="149"/>
      <c r="Q148" s="149"/>
    </row>
    <row r="149" spans="5:17" x14ac:dyDescent="0.35">
      <c r="E149" s="149"/>
      <c r="F149" s="149"/>
      <c r="G149" s="149"/>
      <c r="H149" s="149"/>
      <c r="I149" s="149"/>
      <c r="J149" s="149"/>
      <c r="K149" s="149"/>
      <c r="L149" s="149"/>
      <c r="M149" s="149"/>
      <c r="N149" s="149"/>
      <c r="O149" s="149"/>
      <c r="P149" s="149"/>
      <c r="Q149" s="149"/>
    </row>
    <row r="150" spans="5:17" x14ac:dyDescent="0.35">
      <c r="E150" s="149"/>
      <c r="F150" s="149"/>
      <c r="G150" s="149"/>
      <c r="H150" s="149"/>
      <c r="I150" s="149"/>
      <c r="J150" s="149"/>
      <c r="K150" s="149"/>
      <c r="L150" s="149"/>
      <c r="M150" s="149"/>
      <c r="N150" s="149"/>
      <c r="O150" s="149"/>
      <c r="P150" s="149"/>
      <c r="Q150" s="149"/>
    </row>
    <row r="151" spans="5:17" x14ac:dyDescent="0.35">
      <c r="E151" s="149"/>
      <c r="F151" s="149"/>
      <c r="G151" s="149"/>
      <c r="H151" s="149"/>
      <c r="I151" s="149"/>
      <c r="J151" s="149"/>
      <c r="K151" s="149"/>
      <c r="L151" s="149"/>
      <c r="M151" s="149"/>
      <c r="N151" s="149"/>
      <c r="O151" s="149"/>
      <c r="P151" s="149"/>
      <c r="Q151" s="149"/>
    </row>
    <row r="152" spans="5:17" x14ac:dyDescent="0.35">
      <c r="E152" s="149"/>
      <c r="F152" s="149"/>
      <c r="G152" s="149"/>
      <c r="H152" s="149"/>
      <c r="I152" s="149"/>
      <c r="J152" s="149"/>
      <c r="K152" s="149"/>
      <c r="L152" s="149"/>
      <c r="M152" s="149"/>
      <c r="N152" s="149"/>
      <c r="O152" s="149"/>
      <c r="P152" s="149"/>
      <c r="Q152" s="149"/>
    </row>
    <row r="153" spans="5:17" x14ac:dyDescent="0.35">
      <c r="E153" s="149"/>
      <c r="F153" s="149"/>
      <c r="G153" s="149"/>
      <c r="H153" s="149"/>
      <c r="I153" s="149"/>
      <c r="J153" s="149"/>
      <c r="K153" s="149"/>
      <c r="L153" s="149"/>
      <c r="M153" s="149"/>
      <c r="N153" s="149"/>
      <c r="O153" s="149"/>
      <c r="P153" s="149"/>
      <c r="Q153" s="149"/>
    </row>
    <row r="154" spans="5:17" x14ac:dyDescent="0.35">
      <c r="E154" s="149"/>
      <c r="F154" s="149"/>
      <c r="G154" s="149"/>
      <c r="H154" s="149"/>
      <c r="I154" s="149"/>
      <c r="J154" s="149"/>
      <c r="K154" s="149"/>
      <c r="L154" s="149"/>
      <c r="M154" s="149"/>
      <c r="N154" s="149"/>
      <c r="O154" s="149"/>
      <c r="P154" s="149"/>
      <c r="Q154" s="149"/>
    </row>
    <row r="155" spans="5:17" x14ac:dyDescent="0.35">
      <c r="E155" s="149"/>
      <c r="F155" s="149"/>
      <c r="G155" s="149"/>
      <c r="H155" s="149"/>
      <c r="I155" s="149"/>
      <c r="J155" s="149"/>
      <c r="K155" s="149"/>
      <c r="L155" s="149"/>
      <c r="M155" s="149"/>
      <c r="N155" s="149"/>
      <c r="O155" s="149"/>
      <c r="P155" s="149"/>
      <c r="Q155" s="149"/>
    </row>
    <row r="156" spans="5:17" x14ac:dyDescent="0.35">
      <c r="E156" s="149"/>
      <c r="F156" s="149"/>
      <c r="G156" s="149"/>
      <c r="H156" s="149"/>
      <c r="I156" s="149"/>
      <c r="J156" s="149"/>
      <c r="K156" s="149"/>
      <c r="L156" s="149"/>
      <c r="M156" s="149"/>
      <c r="N156" s="149"/>
      <c r="O156" s="149"/>
      <c r="P156" s="149"/>
      <c r="Q156" s="149"/>
    </row>
    <row r="157" spans="5:17" x14ac:dyDescent="0.35">
      <c r="E157" s="149"/>
      <c r="F157" s="149"/>
      <c r="G157" s="149"/>
      <c r="H157" s="149"/>
      <c r="I157" s="149"/>
      <c r="J157" s="149"/>
      <c r="K157" s="149"/>
      <c r="L157" s="149"/>
      <c r="M157" s="149"/>
      <c r="N157" s="149"/>
      <c r="O157" s="149"/>
      <c r="P157" s="149"/>
      <c r="Q157" s="149"/>
    </row>
    <row r="158" spans="5:17" x14ac:dyDescent="0.35">
      <c r="E158" s="149"/>
      <c r="F158" s="149"/>
      <c r="G158" s="149"/>
      <c r="H158" s="149"/>
      <c r="I158" s="149"/>
      <c r="J158" s="149"/>
      <c r="K158" s="149"/>
      <c r="L158" s="149"/>
      <c r="M158" s="149"/>
      <c r="N158" s="149"/>
      <c r="O158" s="149"/>
      <c r="P158" s="149"/>
      <c r="Q158" s="149"/>
    </row>
    <row r="159" spans="5:17" x14ac:dyDescent="0.35">
      <c r="E159" s="149"/>
      <c r="F159" s="149"/>
      <c r="G159" s="149"/>
      <c r="H159" s="149"/>
      <c r="I159" s="149"/>
      <c r="J159" s="149"/>
      <c r="K159" s="149"/>
      <c r="L159" s="149"/>
      <c r="M159" s="149"/>
      <c r="N159" s="149"/>
      <c r="O159" s="149"/>
      <c r="P159" s="149"/>
      <c r="Q159" s="149"/>
    </row>
    <row r="160" spans="5:17" x14ac:dyDescent="0.35">
      <c r="E160" s="149"/>
      <c r="F160" s="149"/>
      <c r="G160" s="149"/>
      <c r="H160" s="149"/>
      <c r="I160" s="149"/>
      <c r="J160" s="149"/>
      <c r="K160" s="149"/>
      <c r="L160" s="149"/>
      <c r="M160" s="149"/>
      <c r="N160" s="149"/>
      <c r="O160" s="149"/>
      <c r="P160" s="149"/>
      <c r="Q160" s="149"/>
    </row>
    <row r="161" spans="5:17" x14ac:dyDescent="0.35">
      <c r="E161" s="149"/>
      <c r="F161" s="149"/>
      <c r="G161" s="149"/>
      <c r="H161" s="149"/>
      <c r="I161" s="149"/>
      <c r="J161" s="149"/>
      <c r="K161" s="149"/>
      <c r="L161" s="149"/>
      <c r="M161" s="149"/>
      <c r="N161" s="149"/>
      <c r="O161" s="149"/>
      <c r="P161" s="149"/>
      <c r="Q161" s="149"/>
    </row>
    <row r="162" spans="5:17" x14ac:dyDescent="0.35">
      <c r="E162" s="149"/>
      <c r="F162" s="149"/>
      <c r="G162" s="149"/>
      <c r="H162" s="149"/>
      <c r="I162" s="149"/>
      <c r="J162" s="149"/>
      <c r="K162" s="149"/>
      <c r="L162" s="149"/>
      <c r="M162" s="149"/>
      <c r="N162" s="149"/>
      <c r="O162" s="149"/>
      <c r="P162" s="149"/>
      <c r="Q162" s="149"/>
    </row>
    <row r="163" spans="5:17" x14ac:dyDescent="0.35">
      <c r="E163" s="149"/>
      <c r="F163" s="149"/>
      <c r="G163" s="149"/>
      <c r="H163" s="149"/>
      <c r="I163" s="149"/>
      <c r="J163" s="149"/>
      <c r="K163" s="149"/>
      <c r="L163" s="149"/>
      <c r="M163" s="149"/>
      <c r="N163" s="149"/>
      <c r="O163" s="149"/>
      <c r="P163" s="149"/>
      <c r="Q163" s="149"/>
    </row>
    <row r="164" spans="5:17" x14ac:dyDescent="0.35">
      <c r="E164" s="149"/>
      <c r="F164" s="149"/>
      <c r="G164" s="149"/>
      <c r="H164" s="149"/>
      <c r="I164" s="149"/>
      <c r="J164" s="149"/>
      <c r="K164" s="149"/>
      <c r="L164" s="149"/>
      <c r="M164" s="149"/>
      <c r="N164" s="149"/>
      <c r="O164" s="149"/>
      <c r="P164" s="149"/>
      <c r="Q164" s="149"/>
    </row>
    <row r="165" spans="5:17" x14ac:dyDescent="0.35">
      <c r="E165" s="149"/>
      <c r="F165" s="149"/>
      <c r="G165" s="149"/>
      <c r="H165" s="149"/>
      <c r="I165" s="149"/>
      <c r="J165" s="149"/>
      <c r="K165" s="149"/>
      <c r="L165" s="149"/>
      <c r="M165" s="149"/>
      <c r="N165" s="149"/>
      <c r="O165" s="149"/>
      <c r="P165" s="149"/>
      <c r="Q165" s="149"/>
    </row>
    <row r="166" spans="5:17" x14ac:dyDescent="0.35">
      <c r="E166" s="149"/>
      <c r="F166" s="149"/>
      <c r="G166" s="149"/>
      <c r="H166" s="149"/>
      <c r="I166" s="149"/>
      <c r="J166" s="149"/>
      <c r="K166" s="149"/>
      <c r="L166" s="149"/>
      <c r="M166" s="149"/>
      <c r="N166" s="149"/>
      <c r="O166" s="149"/>
      <c r="P166" s="149"/>
      <c r="Q166" s="149"/>
    </row>
    <row r="167" spans="5:17" x14ac:dyDescent="0.35">
      <c r="E167" s="149"/>
      <c r="F167" s="149"/>
      <c r="G167" s="149"/>
      <c r="H167" s="149"/>
      <c r="I167" s="149"/>
      <c r="J167" s="149"/>
      <c r="K167" s="149"/>
      <c r="L167" s="149"/>
      <c r="M167" s="149"/>
      <c r="N167" s="149"/>
      <c r="O167" s="149"/>
      <c r="P167" s="149"/>
      <c r="Q167" s="149"/>
    </row>
    <row r="168" spans="5:17" x14ac:dyDescent="0.35">
      <c r="E168" s="149"/>
      <c r="F168" s="149"/>
      <c r="G168" s="149"/>
      <c r="H168" s="149"/>
      <c r="I168" s="149"/>
      <c r="J168" s="149"/>
      <c r="K168" s="149"/>
      <c r="L168" s="149"/>
      <c r="M168" s="149"/>
      <c r="N168" s="149"/>
      <c r="O168" s="149"/>
      <c r="P168" s="149"/>
      <c r="Q168" s="149"/>
    </row>
    <row r="169" spans="5:17" x14ac:dyDescent="0.35">
      <c r="E169" s="149"/>
      <c r="F169" s="149"/>
      <c r="G169" s="149"/>
      <c r="H169" s="149"/>
      <c r="I169" s="149"/>
      <c r="J169" s="149"/>
      <c r="K169" s="149"/>
      <c r="L169" s="149"/>
      <c r="M169" s="149"/>
      <c r="N169" s="149"/>
      <c r="O169" s="149"/>
      <c r="P169" s="149"/>
      <c r="Q169" s="149"/>
    </row>
    <row r="170" spans="5:17" x14ac:dyDescent="0.35">
      <c r="E170" s="149"/>
      <c r="F170" s="149"/>
      <c r="G170" s="149"/>
      <c r="H170" s="149"/>
      <c r="I170" s="149"/>
      <c r="J170" s="149"/>
      <c r="K170" s="149"/>
      <c r="L170" s="149"/>
      <c r="M170" s="149"/>
      <c r="N170" s="149"/>
      <c r="O170" s="149"/>
      <c r="P170" s="149"/>
      <c r="Q170" s="149"/>
    </row>
    <row r="171" spans="5:17" x14ac:dyDescent="0.35">
      <c r="E171" s="149"/>
      <c r="F171" s="149"/>
      <c r="G171" s="149"/>
      <c r="H171" s="149"/>
      <c r="I171" s="149"/>
      <c r="J171" s="149"/>
      <c r="K171" s="149"/>
      <c r="L171" s="149"/>
      <c r="M171" s="149"/>
      <c r="N171" s="149"/>
      <c r="O171" s="149"/>
      <c r="P171" s="149"/>
      <c r="Q171" s="149"/>
    </row>
    <row r="172" spans="5:17" x14ac:dyDescent="0.35">
      <c r="E172" s="149"/>
      <c r="F172" s="149"/>
      <c r="G172" s="149"/>
      <c r="H172" s="149"/>
      <c r="I172" s="149"/>
      <c r="J172" s="149"/>
      <c r="K172" s="149"/>
      <c r="L172" s="149"/>
      <c r="M172" s="149"/>
      <c r="N172" s="149"/>
      <c r="O172" s="149"/>
      <c r="P172" s="149"/>
      <c r="Q172" s="149"/>
    </row>
    <row r="173" spans="5:17" x14ac:dyDescent="0.35">
      <c r="E173" s="149"/>
      <c r="F173" s="149"/>
      <c r="G173" s="149"/>
      <c r="H173" s="149"/>
      <c r="I173" s="149"/>
      <c r="J173" s="149"/>
      <c r="K173" s="149"/>
      <c r="L173" s="149"/>
      <c r="M173" s="149"/>
      <c r="N173" s="149"/>
      <c r="O173" s="149"/>
      <c r="P173" s="149"/>
      <c r="Q173" s="149"/>
    </row>
    <row r="174" spans="5:17" x14ac:dyDescent="0.35">
      <c r="E174" s="149"/>
      <c r="F174" s="149"/>
      <c r="G174" s="149"/>
      <c r="H174" s="149"/>
      <c r="I174" s="149"/>
      <c r="J174" s="149"/>
      <c r="K174" s="149"/>
      <c r="L174" s="149"/>
      <c r="M174" s="149"/>
      <c r="N174" s="149"/>
      <c r="O174" s="149"/>
      <c r="P174" s="149"/>
      <c r="Q174" s="149"/>
    </row>
    <row r="175" spans="5:17" x14ac:dyDescent="0.35">
      <c r="E175" s="149"/>
      <c r="F175" s="149"/>
      <c r="G175" s="149"/>
      <c r="H175" s="149"/>
      <c r="I175" s="149"/>
      <c r="J175" s="149"/>
      <c r="K175" s="149"/>
      <c r="L175" s="149"/>
      <c r="M175" s="149"/>
      <c r="N175" s="149"/>
      <c r="O175" s="149"/>
      <c r="P175" s="149"/>
      <c r="Q175" s="149"/>
    </row>
    <row r="176" spans="5:17" x14ac:dyDescent="0.35">
      <c r="E176" s="149"/>
      <c r="F176" s="149"/>
      <c r="G176" s="149"/>
      <c r="H176" s="149"/>
      <c r="I176" s="149"/>
      <c r="J176" s="149"/>
      <c r="K176" s="149"/>
      <c r="L176" s="149"/>
      <c r="M176" s="149"/>
      <c r="N176" s="149"/>
      <c r="O176" s="149"/>
      <c r="P176" s="149"/>
      <c r="Q176" s="149"/>
    </row>
    <row r="177" spans="5:17" x14ac:dyDescent="0.35">
      <c r="E177" s="149"/>
      <c r="F177" s="149"/>
      <c r="G177" s="149"/>
      <c r="H177" s="149"/>
      <c r="I177" s="149"/>
      <c r="J177" s="149"/>
      <c r="K177" s="149"/>
      <c r="L177" s="149"/>
      <c r="M177" s="149"/>
      <c r="N177" s="149"/>
      <c r="O177" s="149"/>
      <c r="P177" s="149"/>
      <c r="Q177" s="149"/>
    </row>
    <row r="178" spans="5:17" x14ac:dyDescent="0.35">
      <c r="E178" s="149"/>
      <c r="F178" s="149"/>
      <c r="G178" s="149"/>
      <c r="H178" s="149"/>
      <c r="I178" s="149"/>
      <c r="J178" s="149"/>
      <c r="K178" s="149"/>
      <c r="L178" s="149"/>
      <c r="M178" s="149"/>
      <c r="N178" s="149"/>
      <c r="O178" s="149"/>
      <c r="P178" s="149"/>
      <c r="Q178" s="149"/>
    </row>
    <row r="179" spans="5:17" x14ac:dyDescent="0.35">
      <c r="E179" s="149"/>
      <c r="F179" s="149"/>
      <c r="G179" s="149"/>
      <c r="H179" s="149"/>
      <c r="I179" s="149"/>
      <c r="J179" s="149"/>
      <c r="K179" s="149"/>
      <c r="L179" s="149"/>
      <c r="M179" s="149"/>
      <c r="N179" s="149"/>
      <c r="O179" s="149"/>
      <c r="P179" s="149"/>
      <c r="Q179" s="149"/>
    </row>
    <row r="180" spans="5:17" x14ac:dyDescent="0.35">
      <c r="E180" s="149"/>
      <c r="F180" s="149"/>
      <c r="G180" s="149"/>
      <c r="H180" s="149"/>
      <c r="I180" s="149"/>
      <c r="J180" s="149"/>
      <c r="K180" s="149"/>
      <c r="L180" s="149"/>
      <c r="M180" s="149"/>
      <c r="N180" s="149"/>
      <c r="O180" s="149"/>
      <c r="P180" s="149"/>
      <c r="Q180" s="149"/>
    </row>
    <row r="181" spans="5:17" x14ac:dyDescent="0.35">
      <c r="E181" s="149"/>
      <c r="F181" s="149"/>
      <c r="G181" s="149"/>
      <c r="H181" s="149"/>
      <c r="I181" s="149"/>
      <c r="J181" s="149"/>
      <c r="K181" s="149"/>
      <c r="L181" s="149"/>
      <c r="M181" s="149"/>
      <c r="N181" s="149"/>
      <c r="O181" s="149"/>
      <c r="P181" s="149"/>
      <c r="Q181" s="149"/>
    </row>
    <row r="182" spans="5:17" x14ac:dyDescent="0.35">
      <c r="E182" s="149"/>
      <c r="F182" s="149"/>
      <c r="G182" s="149"/>
      <c r="H182" s="149"/>
      <c r="I182" s="149"/>
      <c r="J182" s="149"/>
      <c r="K182" s="149"/>
      <c r="L182" s="149"/>
      <c r="M182" s="149"/>
      <c r="N182" s="149"/>
      <c r="O182" s="149"/>
      <c r="P182" s="149"/>
      <c r="Q182" s="149"/>
    </row>
    <row r="183" spans="5:17" x14ac:dyDescent="0.35">
      <c r="E183" s="149"/>
      <c r="F183" s="149"/>
      <c r="G183" s="149"/>
      <c r="H183" s="149"/>
      <c r="I183" s="149"/>
      <c r="J183" s="149"/>
      <c r="K183" s="149"/>
      <c r="L183" s="149"/>
      <c r="M183" s="149"/>
      <c r="N183" s="149"/>
      <c r="O183" s="149"/>
      <c r="P183" s="149"/>
      <c r="Q183" s="149"/>
    </row>
    <row r="184" spans="5:17" x14ac:dyDescent="0.35">
      <c r="E184" s="149"/>
      <c r="F184" s="149"/>
      <c r="G184" s="149"/>
      <c r="H184" s="149"/>
      <c r="I184" s="149"/>
      <c r="J184" s="149"/>
      <c r="K184" s="149"/>
      <c r="L184" s="149"/>
      <c r="M184" s="149"/>
      <c r="N184" s="149"/>
      <c r="O184" s="149"/>
      <c r="P184" s="149"/>
      <c r="Q184" s="149"/>
    </row>
    <row r="185" spans="5:17" x14ac:dyDescent="0.35">
      <c r="E185" s="149"/>
      <c r="F185" s="149"/>
      <c r="G185" s="149"/>
      <c r="H185" s="149"/>
      <c r="I185" s="149"/>
      <c r="J185" s="149"/>
      <c r="K185" s="149"/>
      <c r="L185" s="149"/>
      <c r="M185" s="149"/>
      <c r="N185" s="149"/>
      <c r="O185" s="149"/>
      <c r="P185" s="149"/>
      <c r="Q185" s="149"/>
    </row>
    <row r="186" spans="5:17" x14ac:dyDescent="0.35">
      <c r="E186" s="149"/>
      <c r="F186" s="149"/>
      <c r="G186" s="149"/>
      <c r="H186" s="149"/>
      <c r="I186" s="149"/>
      <c r="J186" s="149"/>
      <c r="K186" s="149"/>
      <c r="L186" s="149"/>
      <c r="M186" s="149"/>
      <c r="N186" s="149"/>
      <c r="O186" s="149"/>
      <c r="P186" s="149"/>
      <c r="Q186" s="149"/>
    </row>
    <row r="187" spans="5:17" x14ac:dyDescent="0.35">
      <c r="E187" s="149"/>
      <c r="F187" s="149"/>
      <c r="G187" s="149"/>
      <c r="H187" s="149"/>
      <c r="I187" s="149"/>
      <c r="J187" s="149"/>
      <c r="K187" s="149"/>
      <c r="L187" s="149"/>
      <c r="M187" s="149"/>
      <c r="N187" s="149"/>
      <c r="O187" s="149"/>
      <c r="P187" s="149"/>
      <c r="Q187" s="149"/>
    </row>
    <row r="188" spans="5:17" x14ac:dyDescent="0.35">
      <c r="E188" s="149"/>
      <c r="F188" s="149"/>
      <c r="G188" s="149"/>
      <c r="H188" s="149"/>
      <c r="I188" s="149"/>
      <c r="J188" s="149"/>
      <c r="K188" s="149"/>
      <c r="L188" s="149"/>
      <c r="M188" s="149"/>
      <c r="N188" s="149"/>
      <c r="O188" s="149"/>
      <c r="P188" s="149"/>
      <c r="Q188" s="149"/>
    </row>
    <row r="189" spans="5:17" x14ac:dyDescent="0.35">
      <c r="E189" s="149"/>
      <c r="F189" s="149"/>
      <c r="G189" s="149"/>
      <c r="H189" s="149"/>
      <c r="I189" s="149"/>
      <c r="J189" s="149"/>
      <c r="K189" s="149"/>
      <c r="L189" s="149"/>
      <c r="M189" s="149"/>
      <c r="N189" s="149"/>
      <c r="O189" s="149"/>
      <c r="P189" s="149"/>
      <c r="Q189" s="149"/>
    </row>
    <row r="190" spans="5:17" x14ac:dyDescent="0.35">
      <c r="E190" s="149"/>
      <c r="F190" s="149"/>
      <c r="G190" s="149"/>
      <c r="H190" s="149"/>
      <c r="I190" s="149"/>
      <c r="J190" s="149"/>
      <c r="K190" s="149"/>
      <c r="L190" s="149"/>
      <c r="M190" s="149"/>
      <c r="N190" s="149"/>
      <c r="O190" s="149"/>
      <c r="P190" s="149"/>
      <c r="Q190" s="149"/>
    </row>
    <row r="191" spans="5:17" x14ac:dyDescent="0.35">
      <c r="E191" s="149"/>
      <c r="F191" s="149"/>
      <c r="G191" s="149"/>
      <c r="H191" s="149"/>
      <c r="I191" s="149"/>
      <c r="J191" s="149"/>
      <c r="K191" s="149"/>
      <c r="L191" s="149"/>
      <c r="M191" s="149"/>
      <c r="N191" s="149"/>
      <c r="O191" s="149"/>
      <c r="P191" s="149"/>
      <c r="Q191" s="149"/>
    </row>
    <row r="192" spans="5:17" x14ac:dyDescent="0.35">
      <c r="E192" s="149"/>
      <c r="F192" s="149"/>
      <c r="G192" s="149"/>
      <c r="H192" s="149"/>
      <c r="I192" s="149"/>
      <c r="J192" s="149"/>
      <c r="K192" s="149"/>
      <c r="L192" s="149"/>
      <c r="M192" s="149"/>
      <c r="N192" s="149"/>
      <c r="O192" s="149"/>
      <c r="P192" s="149"/>
      <c r="Q192" s="149"/>
    </row>
    <row r="193" spans="5:17" x14ac:dyDescent="0.35">
      <c r="E193" s="149"/>
      <c r="F193" s="149"/>
      <c r="G193" s="149"/>
      <c r="H193" s="149"/>
      <c r="I193" s="149"/>
      <c r="J193" s="149"/>
      <c r="K193" s="149"/>
      <c r="L193" s="149"/>
      <c r="M193" s="149"/>
      <c r="N193" s="149"/>
      <c r="O193" s="149"/>
      <c r="P193" s="149"/>
      <c r="Q193" s="149"/>
    </row>
    <row r="194" spans="5:17" x14ac:dyDescent="0.35">
      <c r="E194" s="149"/>
      <c r="F194" s="149"/>
      <c r="G194" s="149"/>
      <c r="H194" s="149"/>
      <c r="I194" s="149"/>
      <c r="J194" s="149"/>
      <c r="K194" s="149"/>
      <c r="L194" s="149"/>
      <c r="M194" s="149"/>
      <c r="N194" s="149"/>
      <c r="O194" s="149"/>
      <c r="P194" s="149"/>
      <c r="Q194" s="149"/>
    </row>
    <row r="195" spans="5:17" x14ac:dyDescent="0.35">
      <c r="E195" s="149"/>
      <c r="F195" s="149"/>
      <c r="G195" s="149"/>
      <c r="H195" s="149"/>
      <c r="I195" s="149"/>
      <c r="J195" s="149"/>
      <c r="K195" s="149"/>
      <c r="L195" s="149"/>
      <c r="M195" s="149"/>
      <c r="N195" s="149"/>
      <c r="O195" s="149"/>
      <c r="P195" s="149"/>
      <c r="Q195" s="149"/>
    </row>
    <row r="196" spans="5:17" x14ac:dyDescent="0.35">
      <c r="E196" s="149"/>
      <c r="F196" s="149"/>
      <c r="G196" s="149"/>
      <c r="H196" s="149"/>
      <c r="I196" s="149"/>
      <c r="J196" s="149"/>
      <c r="K196" s="149"/>
      <c r="L196" s="149"/>
      <c r="M196" s="149"/>
      <c r="N196" s="149"/>
      <c r="O196" s="149"/>
      <c r="P196" s="149"/>
      <c r="Q196" s="149"/>
    </row>
    <row r="197" spans="5:17" x14ac:dyDescent="0.35">
      <c r="E197" s="149"/>
      <c r="F197" s="149"/>
      <c r="G197" s="149"/>
      <c r="H197" s="149"/>
      <c r="I197" s="149"/>
      <c r="J197" s="149"/>
      <c r="K197" s="149"/>
      <c r="L197" s="149"/>
      <c r="M197" s="149"/>
      <c r="N197" s="149"/>
      <c r="O197" s="149"/>
      <c r="P197" s="149"/>
      <c r="Q197" s="149"/>
    </row>
    <row r="198" spans="5:17" x14ac:dyDescent="0.35">
      <c r="E198" s="149"/>
      <c r="F198" s="149"/>
      <c r="G198" s="149"/>
      <c r="H198" s="149"/>
      <c r="I198" s="149"/>
      <c r="J198" s="149"/>
      <c r="K198" s="149"/>
      <c r="L198" s="149"/>
      <c r="M198" s="149"/>
      <c r="N198" s="149"/>
      <c r="O198" s="149"/>
      <c r="P198" s="149"/>
      <c r="Q198" s="149"/>
    </row>
    <row r="199" spans="5:17" x14ac:dyDescent="0.35">
      <c r="E199" s="149"/>
      <c r="F199" s="149"/>
      <c r="G199" s="149"/>
      <c r="H199" s="149"/>
      <c r="I199" s="149"/>
      <c r="J199" s="149"/>
      <c r="K199" s="149"/>
      <c r="L199" s="149"/>
      <c r="M199" s="149"/>
      <c r="N199" s="149"/>
      <c r="O199" s="149"/>
      <c r="P199" s="149"/>
      <c r="Q199" s="149"/>
    </row>
    <row r="200" spans="5:17" x14ac:dyDescent="0.35">
      <c r="E200" s="149"/>
      <c r="F200" s="149"/>
      <c r="G200" s="149"/>
      <c r="H200" s="149"/>
      <c r="I200" s="149"/>
      <c r="J200" s="149"/>
      <c r="K200" s="149"/>
      <c r="L200" s="149"/>
      <c r="M200" s="149"/>
      <c r="N200" s="149"/>
      <c r="O200" s="149"/>
      <c r="P200" s="149"/>
      <c r="Q200" s="149"/>
    </row>
    <row r="201" spans="5:17" x14ac:dyDescent="0.35">
      <c r="E201" s="149"/>
      <c r="F201" s="149"/>
      <c r="G201" s="149"/>
      <c r="H201" s="149"/>
      <c r="I201" s="149"/>
      <c r="J201" s="149"/>
      <c r="K201" s="149"/>
      <c r="L201" s="149"/>
      <c r="M201" s="149"/>
      <c r="N201" s="149"/>
      <c r="O201" s="149"/>
      <c r="P201" s="149"/>
      <c r="Q201" s="149"/>
    </row>
    <row r="202" spans="5:17" x14ac:dyDescent="0.35">
      <c r="E202" s="149"/>
      <c r="F202" s="149"/>
      <c r="G202" s="149"/>
      <c r="H202" s="149"/>
      <c r="I202" s="149"/>
      <c r="J202" s="149"/>
      <c r="K202" s="149"/>
      <c r="L202" s="149"/>
      <c r="M202" s="149"/>
      <c r="N202" s="149"/>
      <c r="O202" s="149"/>
      <c r="P202" s="149"/>
      <c r="Q202" s="149"/>
    </row>
    <row r="203" spans="5:17" x14ac:dyDescent="0.35">
      <c r="E203" s="149"/>
      <c r="F203" s="149"/>
      <c r="G203" s="149"/>
      <c r="H203" s="149"/>
      <c r="I203" s="149"/>
      <c r="J203" s="149"/>
      <c r="K203" s="149"/>
      <c r="L203" s="149"/>
      <c r="M203" s="149"/>
      <c r="N203" s="149"/>
      <c r="O203" s="149"/>
      <c r="P203" s="149"/>
      <c r="Q203" s="149"/>
    </row>
    <row r="204" spans="5:17" x14ac:dyDescent="0.35">
      <c r="E204" s="149"/>
      <c r="F204" s="149"/>
      <c r="G204" s="149"/>
      <c r="H204" s="149"/>
      <c r="I204" s="149"/>
      <c r="J204" s="149"/>
      <c r="K204" s="149"/>
      <c r="L204" s="149"/>
      <c r="M204" s="149"/>
      <c r="N204" s="149"/>
      <c r="O204" s="149"/>
      <c r="P204" s="149"/>
      <c r="Q204" s="149"/>
    </row>
    <row r="205" spans="5:17" x14ac:dyDescent="0.35">
      <c r="E205" s="149"/>
      <c r="F205" s="149"/>
      <c r="G205" s="149"/>
      <c r="H205" s="149"/>
      <c r="I205" s="149"/>
      <c r="J205" s="149"/>
      <c r="K205" s="149"/>
      <c r="L205" s="149"/>
      <c r="M205" s="149"/>
      <c r="N205" s="149"/>
      <c r="O205" s="149"/>
      <c r="P205" s="149"/>
      <c r="Q205" s="149"/>
    </row>
    <row r="206" spans="5:17" x14ac:dyDescent="0.35">
      <c r="E206" s="149"/>
      <c r="F206" s="149"/>
      <c r="G206" s="149"/>
      <c r="H206" s="149"/>
      <c r="I206" s="149"/>
      <c r="J206" s="149"/>
      <c r="K206" s="149"/>
      <c r="L206" s="149"/>
      <c r="M206" s="149"/>
      <c r="N206" s="149"/>
      <c r="O206" s="149"/>
      <c r="P206" s="149"/>
      <c r="Q206" s="149"/>
    </row>
    <row r="207" spans="5:17" x14ac:dyDescent="0.35">
      <c r="E207" s="149"/>
      <c r="F207" s="149"/>
      <c r="G207" s="149"/>
      <c r="H207" s="149"/>
      <c r="I207" s="149"/>
      <c r="J207" s="149"/>
      <c r="K207" s="149"/>
      <c r="L207" s="149"/>
      <c r="M207" s="149"/>
      <c r="N207" s="149"/>
      <c r="O207" s="149"/>
      <c r="P207" s="149"/>
      <c r="Q207" s="149"/>
    </row>
    <row r="208" spans="5:17" x14ac:dyDescent="0.35">
      <c r="E208" s="149"/>
      <c r="F208" s="149"/>
      <c r="G208" s="149"/>
      <c r="H208" s="149"/>
      <c r="I208" s="149"/>
      <c r="J208" s="149"/>
      <c r="K208" s="149"/>
      <c r="L208" s="149"/>
      <c r="M208" s="149"/>
      <c r="N208" s="149"/>
      <c r="O208" s="149"/>
      <c r="P208" s="149"/>
      <c r="Q208" s="149"/>
    </row>
    <row r="209" spans="5:17" x14ac:dyDescent="0.35">
      <c r="E209" s="149"/>
      <c r="F209" s="149"/>
      <c r="G209" s="149"/>
      <c r="H209" s="149"/>
      <c r="I209" s="149"/>
      <c r="J209" s="149"/>
      <c r="K209" s="149"/>
      <c r="L209" s="149"/>
      <c r="M209" s="149"/>
      <c r="N209" s="149"/>
      <c r="O209" s="149"/>
      <c r="P209" s="149"/>
      <c r="Q209" s="149"/>
    </row>
    <row r="210" spans="5:17" x14ac:dyDescent="0.35">
      <c r="E210" s="149"/>
      <c r="F210" s="149"/>
      <c r="G210" s="149"/>
      <c r="H210" s="149"/>
      <c r="I210" s="149"/>
      <c r="J210" s="149"/>
      <c r="K210" s="149"/>
      <c r="L210" s="149"/>
      <c r="M210" s="149"/>
      <c r="N210" s="149"/>
      <c r="O210" s="149"/>
      <c r="P210" s="149"/>
      <c r="Q210" s="149"/>
    </row>
    <row r="211" spans="5:17" x14ac:dyDescent="0.35">
      <c r="E211" s="149"/>
      <c r="F211" s="149"/>
      <c r="G211" s="149"/>
      <c r="H211" s="149"/>
      <c r="I211" s="149"/>
      <c r="J211" s="149"/>
      <c r="K211" s="149"/>
      <c r="L211" s="149"/>
      <c r="M211" s="149"/>
      <c r="N211" s="149"/>
      <c r="O211" s="149"/>
      <c r="P211" s="149"/>
      <c r="Q211" s="149"/>
    </row>
    <row r="212" spans="5:17" x14ac:dyDescent="0.35">
      <c r="E212" s="149"/>
      <c r="F212" s="149"/>
      <c r="G212" s="149"/>
      <c r="H212" s="149"/>
      <c r="I212" s="149"/>
      <c r="J212" s="149"/>
      <c r="K212" s="149"/>
      <c r="L212" s="149"/>
      <c r="M212" s="149"/>
      <c r="N212" s="149"/>
      <c r="O212" s="149"/>
      <c r="P212" s="149"/>
      <c r="Q212" s="149"/>
    </row>
    <row r="213" spans="5:17" x14ac:dyDescent="0.35">
      <c r="E213" s="149"/>
      <c r="F213" s="149"/>
      <c r="G213" s="149"/>
      <c r="H213" s="149"/>
      <c r="I213" s="149"/>
      <c r="J213" s="149"/>
      <c r="K213" s="149"/>
      <c r="L213" s="149"/>
      <c r="M213" s="149"/>
      <c r="N213" s="149"/>
      <c r="O213" s="149"/>
      <c r="P213" s="149"/>
      <c r="Q213" s="149"/>
    </row>
    <row r="214" spans="5:17" x14ac:dyDescent="0.35">
      <c r="E214" s="149"/>
      <c r="F214" s="149"/>
      <c r="G214" s="149"/>
      <c r="H214" s="149"/>
      <c r="I214" s="149"/>
      <c r="J214" s="149"/>
      <c r="K214" s="149"/>
      <c r="L214" s="149"/>
      <c r="M214" s="149"/>
      <c r="N214" s="149"/>
      <c r="O214" s="149"/>
      <c r="P214" s="149"/>
      <c r="Q214" s="149"/>
    </row>
    <row r="215" spans="5:17" x14ac:dyDescent="0.35">
      <c r="E215" s="149"/>
      <c r="F215" s="149"/>
      <c r="G215" s="149"/>
      <c r="H215" s="149"/>
      <c r="I215" s="149"/>
      <c r="J215" s="149"/>
      <c r="K215" s="149"/>
      <c r="L215" s="149"/>
      <c r="M215" s="149"/>
      <c r="N215" s="149"/>
      <c r="O215" s="149"/>
      <c r="P215" s="149"/>
      <c r="Q215" s="149"/>
    </row>
    <row r="216" spans="5:17" x14ac:dyDescent="0.35">
      <c r="E216" s="149"/>
      <c r="F216" s="149"/>
      <c r="G216" s="149"/>
      <c r="H216" s="149"/>
      <c r="I216" s="149"/>
      <c r="J216" s="149"/>
      <c r="K216" s="149"/>
      <c r="L216" s="149"/>
      <c r="M216" s="149"/>
      <c r="N216" s="149"/>
      <c r="O216" s="149"/>
      <c r="P216" s="149"/>
      <c r="Q216" s="149"/>
    </row>
    <row r="217" spans="5:17" x14ac:dyDescent="0.35">
      <c r="E217" s="149"/>
      <c r="F217" s="149"/>
      <c r="G217" s="149"/>
      <c r="H217" s="149"/>
      <c r="I217" s="149"/>
      <c r="J217" s="149"/>
      <c r="K217" s="149"/>
      <c r="L217" s="149"/>
      <c r="M217" s="149"/>
      <c r="N217" s="149"/>
      <c r="O217" s="149"/>
      <c r="P217" s="149"/>
      <c r="Q217" s="149"/>
    </row>
    <row r="218" spans="5:17" x14ac:dyDescent="0.35">
      <c r="E218" s="149"/>
      <c r="F218" s="149"/>
      <c r="G218" s="149"/>
      <c r="H218" s="149"/>
      <c r="I218" s="149"/>
      <c r="J218" s="149"/>
      <c r="K218" s="149"/>
      <c r="L218" s="149"/>
      <c r="M218" s="149"/>
      <c r="N218" s="149"/>
      <c r="O218" s="149"/>
      <c r="P218" s="149"/>
      <c r="Q218" s="149"/>
    </row>
    <row r="219" spans="5:17" x14ac:dyDescent="0.35">
      <c r="E219" s="149"/>
      <c r="F219" s="149"/>
      <c r="G219" s="149"/>
      <c r="H219" s="149"/>
      <c r="I219" s="149"/>
      <c r="J219" s="149"/>
      <c r="K219" s="149"/>
      <c r="L219" s="149"/>
      <c r="M219" s="149"/>
      <c r="N219" s="149"/>
      <c r="O219" s="149"/>
      <c r="P219" s="149"/>
      <c r="Q219" s="149"/>
    </row>
    <row r="220" spans="5:17" x14ac:dyDescent="0.35">
      <c r="E220" s="149"/>
      <c r="F220" s="149"/>
      <c r="G220" s="149"/>
      <c r="H220" s="149"/>
      <c r="I220" s="149"/>
      <c r="J220" s="149"/>
      <c r="K220" s="149"/>
      <c r="L220" s="149"/>
      <c r="M220" s="149"/>
      <c r="N220" s="149"/>
      <c r="O220" s="149"/>
      <c r="P220" s="149"/>
      <c r="Q220" s="149"/>
    </row>
    <row r="221" spans="5:17" x14ac:dyDescent="0.35">
      <c r="E221" s="149"/>
      <c r="F221" s="149"/>
      <c r="G221" s="149"/>
      <c r="H221" s="149"/>
      <c r="I221" s="149"/>
      <c r="J221" s="149"/>
      <c r="K221" s="149"/>
      <c r="L221" s="149"/>
      <c r="M221" s="149"/>
      <c r="N221" s="149"/>
      <c r="O221" s="149"/>
      <c r="P221" s="149"/>
      <c r="Q221" s="149"/>
    </row>
    <row r="222" spans="5:17" x14ac:dyDescent="0.35">
      <c r="E222" s="149"/>
      <c r="F222" s="149"/>
      <c r="G222" s="149"/>
      <c r="H222" s="149"/>
      <c r="I222" s="149"/>
      <c r="J222" s="149"/>
      <c r="K222" s="149"/>
      <c r="L222" s="149"/>
      <c r="M222" s="149"/>
      <c r="N222" s="149"/>
      <c r="O222" s="149"/>
      <c r="P222" s="149"/>
      <c r="Q222" s="149"/>
    </row>
    <row r="223" spans="5:17" x14ac:dyDescent="0.35">
      <c r="E223" s="149"/>
      <c r="F223" s="149"/>
      <c r="G223" s="149"/>
      <c r="H223" s="149"/>
      <c r="I223" s="149"/>
      <c r="J223" s="149"/>
      <c r="K223" s="149"/>
      <c r="L223" s="149"/>
      <c r="M223" s="149"/>
      <c r="N223" s="149"/>
      <c r="O223" s="149"/>
      <c r="P223" s="149"/>
      <c r="Q223" s="149"/>
    </row>
    <row r="224" spans="5:17" x14ac:dyDescent="0.35">
      <c r="E224" s="149"/>
      <c r="F224" s="149"/>
      <c r="G224" s="149"/>
      <c r="H224" s="149"/>
      <c r="I224" s="149"/>
      <c r="J224" s="149"/>
      <c r="K224" s="149"/>
      <c r="L224" s="149"/>
      <c r="M224" s="149"/>
      <c r="N224" s="149"/>
      <c r="O224" s="149"/>
      <c r="P224" s="149"/>
      <c r="Q224" s="149"/>
    </row>
    <row r="225" spans="5:17" x14ac:dyDescent="0.35">
      <c r="E225" s="149"/>
      <c r="F225" s="149"/>
      <c r="G225" s="149"/>
      <c r="H225" s="149"/>
      <c r="I225" s="149"/>
      <c r="J225" s="149"/>
      <c r="K225" s="149"/>
      <c r="L225" s="149"/>
      <c r="M225" s="149"/>
      <c r="N225" s="149"/>
      <c r="O225" s="149"/>
      <c r="P225" s="149"/>
      <c r="Q225" s="149"/>
    </row>
    <row r="226" spans="5:17" x14ac:dyDescent="0.35">
      <c r="E226" s="149"/>
      <c r="F226" s="149"/>
      <c r="G226" s="149"/>
      <c r="H226" s="149"/>
      <c r="I226" s="149"/>
      <c r="J226" s="149"/>
      <c r="K226" s="149"/>
      <c r="L226" s="149"/>
      <c r="M226" s="149"/>
      <c r="N226" s="149"/>
      <c r="O226" s="149"/>
      <c r="P226" s="149"/>
      <c r="Q226" s="149"/>
    </row>
    <row r="227" spans="5:17" x14ac:dyDescent="0.35">
      <c r="E227" s="149"/>
      <c r="F227" s="149"/>
      <c r="G227" s="149"/>
      <c r="H227" s="149"/>
      <c r="I227" s="149"/>
      <c r="J227" s="149"/>
      <c r="K227" s="149"/>
      <c r="L227" s="149"/>
      <c r="M227" s="149"/>
      <c r="N227" s="149"/>
      <c r="O227" s="149"/>
      <c r="P227" s="149"/>
      <c r="Q227" s="149"/>
    </row>
    <row r="228" spans="5:17" x14ac:dyDescent="0.35">
      <c r="E228" s="149"/>
      <c r="F228" s="149"/>
      <c r="G228" s="149"/>
      <c r="H228" s="149"/>
      <c r="I228" s="149"/>
      <c r="J228" s="149"/>
      <c r="K228" s="149"/>
      <c r="L228" s="149"/>
      <c r="M228" s="149"/>
      <c r="N228" s="149"/>
      <c r="O228" s="149"/>
      <c r="P228" s="149"/>
      <c r="Q228" s="149"/>
    </row>
    <row r="229" spans="5:17" x14ac:dyDescent="0.35">
      <c r="E229" s="149"/>
      <c r="F229" s="149"/>
      <c r="G229" s="149"/>
      <c r="H229" s="149"/>
      <c r="I229" s="149"/>
      <c r="J229" s="149"/>
      <c r="K229" s="149"/>
      <c r="L229" s="149"/>
      <c r="M229" s="149"/>
      <c r="N229" s="149"/>
      <c r="O229" s="149"/>
      <c r="P229" s="149"/>
      <c r="Q229" s="149"/>
    </row>
    <row r="230" spans="5:17" x14ac:dyDescent="0.35">
      <c r="E230" s="149"/>
      <c r="F230" s="149"/>
      <c r="G230" s="149"/>
      <c r="H230" s="149"/>
      <c r="I230" s="149"/>
      <c r="J230" s="149"/>
      <c r="K230" s="149"/>
      <c r="L230" s="149"/>
      <c r="M230" s="149"/>
      <c r="N230" s="149"/>
      <c r="O230" s="149"/>
      <c r="P230" s="149"/>
      <c r="Q230" s="149"/>
    </row>
    <row r="231" spans="5:17" x14ac:dyDescent="0.35">
      <c r="E231" s="149"/>
      <c r="F231" s="149"/>
      <c r="G231" s="149"/>
      <c r="H231" s="149"/>
      <c r="I231" s="149"/>
      <c r="J231" s="149"/>
      <c r="K231" s="149"/>
      <c r="L231" s="149"/>
      <c r="M231" s="149"/>
      <c r="N231" s="149"/>
      <c r="O231" s="149"/>
      <c r="P231" s="149"/>
      <c r="Q231" s="149"/>
    </row>
    <row r="232" spans="5:17" x14ac:dyDescent="0.35">
      <c r="E232" s="149"/>
      <c r="F232" s="149"/>
      <c r="G232" s="149"/>
      <c r="H232" s="149"/>
      <c r="I232" s="149"/>
      <c r="J232" s="149"/>
      <c r="K232" s="149"/>
      <c r="L232" s="149"/>
      <c r="M232" s="149"/>
      <c r="N232" s="149"/>
      <c r="O232" s="149"/>
      <c r="P232" s="149"/>
      <c r="Q232" s="149"/>
    </row>
    <row r="233" spans="5:17" x14ac:dyDescent="0.35">
      <c r="E233" s="149"/>
      <c r="F233" s="149"/>
      <c r="G233" s="149"/>
      <c r="H233" s="149"/>
      <c r="I233" s="149"/>
      <c r="J233" s="149"/>
      <c r="K233" s="149"/>
      <c r="L233" s="149"/>
      <c r="M233" s="149"/>
      <c r="N233" s="149"/>
      <c r="O233" s="149"/>
      <c r="P233" s="149"/>
      <c r="Q233" s="149"/>
    </row>
    <row r="234" spans="5:17" x14ac:dyDescent="0.35">
      <c r="E234" s="149"/>
      <c r="F234" s="149"/>
      <c r="G234" s="149"/>
      <c r="H234" s="149"/>
      <c r="I234" s="149"/>
      <c r="J234" s="149"/>
      <c r="K234" s="149"/>
      <c r="L234" s="149"/>
      <c r="M234" s="149"/>
      <c r="N234" s="149"/>
      <c r="O234" s="149"/>
      <c r="P234" s="149"/>
      <c r="Q234" s="149"/>
    </row>
    <row r="235" spans="5:17" x14ac:dyDescent="0.35">
      <c r="E235" s="149"/>
      <c r="F235" s="149"/>
      <c r="G235" s="149"/>
      <c r="H235" s="149"/>
      <c r="I235" s="149"/>
      <c r="J235" s="149"/>
      <c r="K235" s="149"/>
      <c r="L235" s="149"/>
      <c r="M235" s="149"/>
      <c r="N235" s="149"/>
      <c r="O235" s="149"/>
      <c r="P235" s="149"/>
      <c r="Q235" s="149"/>
    </row>
    <row r="236" spans="5:17" x14ac:dyDescent="0.35">
      <c r="E236" s="149"/>
      <c r="F236" s="149"/>
      <c r="G236" s="149"/>
      <c r="H236" s="149"/>
      <c r="I236" s="149"/>
      <c r="J236" s="149"/>
      <c r="K236" s="149"/>
      <c r="L236" s="149"/>
      <c r="M236" s="149"/>
      <c r="N236" s="149"/>
      <c r="O236" s="149"/>
      <c r="P236" s="149"/>
      <c r="Q236" s="149"/>
    </row>
    <row r="237" spans="5:17" x14ac:dyDescent="0.35">
      <c r="E237" s="149"/>
      <c r="F237" s="149"/>
      <c r="G237" s="149"/>
      <c r="H237" s="149"/>
      <c r="I237" s="149"/>
      <c r="J237" s="149"/>
      <c r="K237" s="149"/>
      <c r="L237" s="149"/>
      <c r="M237" s="149"/>
      <c r="N237" s="149"/>
      <c r="O237" s="149"/>
      <c r="P237" s="149"/>
      <c r="Q237" s="149"/>
    </row>
    <row r="238" spans="5:17" x14ac:dyDescent="0.35">
      <c r="E238" s="149"/>
      <c r="F238" s="149"/>
      <c r="G238" s="149"/>
      <c r="H238" s="149"/>
      <c r="I238" s="149"/>
      <c r="J238" s="149"/>
      <c r="K238" s="149"/>
      <c r="L238" s="149"/>
      <c r="M238" s="149"/>
      <c r="N238" s="149"/>
      <c r="O238" s="149"/>
      <c r="P238" s="149"/>
      <c r="Q238" s="149"/>
    </row>
    <row r="239" spans="5:17" x14ac:dyDescent="0.35">
      <c r="E239" s="149"/>
      <c r="F239" s="149"/>
      <c r="G239" s="149"/>
      <c r="H239" s="149"/>
      <c r="I239" s="149"/>
      <c r="J239" s="149"/>
      <c r="K239" s="149"/>
      <c r="L239" s="149"/>
      <c r="M239" s="149"/>
      <c r="N239" s="149"/>
      <c r="O239" s="149"/>
      <c r="P239" s="149"/>
      <c r="Q239" s="149"/>
    </row>
    <row r="240" spans="5:17" x14ac:dyDescent="0.35">
      <c r="E240" s="149"/>
      <c r="F240" s="149"/>
      <c r="G240" s="149"/>
      <c r="H240" s="149"/>
      <c r="I240" s="149"/>
      <c r="J240" s="149"/>
      <c r="K240" s="149"/>
      <c r="L240" s="149"/>
      <c r="M240" s="149"/>
      <c r="N240" s="149"/>
      <c r="O240" s="149"/>
      <c r="P240" s="149"/>
      <c r="Q240" s="149"/>
    </row>
    <row r="241" spans="5:17" x14ac:dyDescent="0.35">
      <c r="E241" s="149"/>
      <c r="F241" s="149"/>
      <c r="G241" s="149"/>
      <c r="H241" s="149"/>
      <c r="I241" s="149"/>
      <c r="J241" s="149"/>
      <c r="K241" s="149"/>
      <c r="L241" s="149"/>
      <c r="M241" s="149"/>
      <c r="N241" s="149"/>
      <c r="O241" s="149"/>
      <c r="P241" s="149"/>
      <c r="Q241" s="149"/>
    </row>
    <row r="242" spans="5:17" x14ac:dyDescent="0.35">
      <c r="E242" s="149"/>
      <c r="F242" s="149"/>
      <c r="G242" s="149"/>
      <c r="H242" s="149"/>
      <c r="I242" s="149"/>
      <c r="J242" s="149"/>
      <c r="K242" s="149"/>
      <c r="L242" s="149"/>
      <c r="M242" s="149"/>
      <c r="N242" s="149"/>
      <c r="O242" s="149"/>
      <c r="P242" s="149"/>
      <c r="Q242" s="149"/>
    </row>
    <row r="243" spans="5:17" x14ac:dyDescent="0.35">
      <c r="E243" s="149"/>
      <c r="F243" s="149"/>
      <c r="G243" s="149"/>
      <c r="H243" s="149"/>
      <c r="I243" s="149"/>
      <c r="J243" s="149"/>
      <c r="K243" s="149"/>
      <c r="L243" s="149"/>
      <c r="M243" s="149"/>
      <c r="N243" s="149"/>
      <c r="O243" s="149"/>
      <c r="P243" s="149"/>
      <c r="Q243" s="149"/>
    </row>
    <row r="244" spans="5:17" x14ac:dyDescent="0.35">
      <c r="E244" s="149"/>
      <c r="F244" s="149"/>
      <c r="G244" s="149"/>
      <c r="H244" s="149"/>
      <c r="I244" s="149"/>
      <c r="J244" s="149"/>
      <c r="K244" s="149"/>
      <c r="L244" s="149"/>
      <c r="M244" s="149"/>
      <c r="N244" s="149"/>
      <c r="O244" s="149"/>
      <c r="P244" s="149"/>
      <c r="Q244" s="149"/>
    </row>
    <row r="245" spans="5:17" x14ac:dyDescent="0.35">
      <c r="E245" s="149"/>
      <c r="F245" s="149"/>
      <c r="G245" s="149"/>
      <c r="H245" s="149"/>
      <c r="I245" s="149"/>
      <c r="J245" s="149"/>
      <c r="K245" s="149"/>
      <c r="L245" s="149"/>
      <c r="M245" s="149"/>
      <c r="N245" s="149"/>
      <c r="O245" s="149"/>
      <c r="P245" s="149"/>
      <c r="Q245" s="149"/>
    </row>
    <row r="246" spans="5:17" x14ac:dyDescent="0.35">
      <c r="E246" s="149"/>
      <c r="F246" s="149"/>
      <c r="G246" s="149"/>
      <c r="H246" s="149"/>
      <c r="I246" s="149"/>
      <c r="J246" s="149"/>
      <c r="K246" s="149"/>
      <c r="L246" s="149"/>
      <c r="M246" s="149"/>
      <c r="N246" s="149"/>
      <c r="O246" s="149"/>
      <c r="P246" s="149"/>
      <c r="Q246" s="149"/>
    </row>
    <row r="247" spans="5:17" x14ac:dyDescent="0.35">
      <c r="E247" s="149"/>
      <c r="F247" s="149"/>
      <c r="G247" s="149"/>
      <c r="H247" s="149"/>
      <c r="I247" s="149"/>
      <c r="J247" s="149"/>
      <c r="K247" s="149"/>
      <c r="L247" s="149"/>
      <c r="M247" s="149"/>
      <c r="N247" s="149"/>
      <c r="O247" s="149"/>
      <c r="P247" s="149"/>
      <c r="Q247" s="149"/>
    </row>
    <row r="248" spans="5:17" x14ac:dyDescent="0.35">
      <c r="E248" s="149"/>
      <c r="F248" s="149"/>
      <c r="G248" s="149"/>
      <c r="H248" s="149"/>
      <c r="I248" s="149"/>
      <c r="J248" s="149"/>
      <c r="K248" s="149"/>
      <c r="L248" s="149"/>
      <c r="M248" s="149"/>
      <c r="N248" s="149"/>
      <c r="O248" s="149"/>
      <c r="P248" s="149"/>
      <c r="Q248" s="149"/>
    </row>
    <row r="249" spans="5:17" x14ac:dyDescent="0.35">
      <c r="E249" s="149"/>
      <c r="F249" s="149"/>
      <c r="G249" s="149"/>
      <c r="H249" s="149"/>
      <c r="I249" s="149"/>
      <c r="J249" s="149"/>
      <c r="K249" s="149"/>
      <c r="L249" s="149"/>
      <c r="M249" s="149"/>
      <c r="N249" s="149"/>
      <c r="O249" s="149"/>
      <c r="P249" s="149"/>
      <c r="Q249" s="149"/>
    </row>
    <row r="250" spans="5:17" x14ac:dyDescent="0.35">
      <c r="E250" s="149"/>
      <c r="F250" s="149"/>
      <c r="G250" s="149"/>
      <c r="H250" s="149"/>
      <c r="I250" s="149"/>
      <c r="J250" s="149"/>
      <c r="K250" s="149"/>
      <c r="L250" s="149"/>
      <c r="M250" s="149"/>
      <c r="N250" s="149"/>
      <c r="O250" s="149"/>
      <c r="P250" s="149"/>
      <c r="Q250" s="149"/>
    </row>
    <row r="251" spans="5:17" x14ac:dyDescent="0.35">
      <c r="E251" s="149"/>
      <c r="F251" s="149"/>
      <c r="G251" s="149"/>
      <c r="H251" s="149"/>
      <c r="I251" s="149"/>
      <c r="J251" s="149"/>
      <c r="K251" s="149"/>
      <c r="L251" s="149"/>
      <c r="M251" s="149"/>
      <c r="N251" s="149"/>
      <c r="O251" s="149"/>
      <c r="P251" s="149"/>
      <c r="Q251" s="149"/>
    </row>
    <row r="252" spans="5:17" x14ac:dyDescent="0.35">
      <c r="E252" s="149"/>
      <c r="F252" s="149"/>
      <c r="G252" s="149"/>
      <c r="H252" s="149"/>
      <c r="I252" s="149"/>
      <c r="J252" s="149"/>
      <c r="K252" s="149"/>
      <c r="L252" s="149"/>
      <c r="M252" s="149"/>
      <c r="N252" s="149"/>
      <c r="O252" s="149"/>
      <c r="P252" s="149"/>
      <c r="Q252" s="149"/>
    </row>
    <row r="253" spans="5:17" x14ac:dyDescent="0.35">
      <c r="E253" s="149"/>
      <c r="F253" s="149"/>
      <c r="G253" s="149"/>
      <c r="H253" s="149"/>
      <c r="I253" s="149"/>
      <c r="J253" s="149"/>
      <c r="K253" s="149"/>
      <c r="L253" s="149"/>
      <c r="M253" s="149"/>
      <c r="N253" s="149"/>
      <c r="O253" s="149"/>
      <c r="P253" s="149"/>
      <c r="Q253" s="149"/>
    </row>
    <row r="254" spans="5:17" x14ac:dyDescent="0.35">
      <c r="E254" s="149"/>
      <c r="F254" s="149"/>
      <c r="G254" s="149"/>
      <c r="H254" s="149"/>
      <c r="I254" s="149"/>
      <c r="J254" s="149"/>
      <c r="K254" s="149"/>
      <c r="L254" s="149"/>
      <c r="M254" s="149"/>
      <c r="N254" s="149"/>
      <c r="O254" s="149"/>
      <c r="P254" s="149"/>
      <c r="Q254" s="149"/>
    </row>
    <row r="255" spans="5:17" x14ac:dyDescent="0.35">
      <c r="E255" s="149"/>
      <c r="F255" s="149"/>
      <c r="G255" s="149"/>
      <c r="H255" s="149"/>
      <c r="I255" s="149"/>
      <c r="J255" s="149"/>
      <c r="K255" s="149"/>
      <c r="L255" s="149"/>
      <c r="M255" s="149"/>
      <c r="N255" s="149"/>
      <c r="O255" s="149"/>
      <c r="P255" s="149"/>
      <c r="Q255" s="149"/>
    </row>
    <row r="256" spans="5:17" x14ac:dyDescent="0.35">
      <c r="E256" s="149"/>
      <c r="F256" s="149"/>
      <c r="G256" s="149"/>
      <c r="H256" s="149"/>
      <c r="I256" s="149"/>
      <c r="J256" s="149"/>
      <c r="K256" s="149"/>
      <c r="L256" s="149"/>
      <c r="M256" s="149"/>
      <c r="N256" s="149"/>
      <c r="O256" s="149"/>
      <c r="P256" s="149"/>
      <c r="Q256" s="149"/>
    </row>
    <row r="257" spans="5:17" x14ac:dyDescent="0.35">
      <c r="E257" s="149"/>
      <c r="F257" s="149"/>
      <c r="G257" s="149"/>
      <c r="H257" s="149"/>
      <c r="I257" s="149"/>
      <c r="J257" s="149"/>
      <c r="K257" s="149"/>
      <c r="L257" s="149"/>
      <c r="M257" s="149"/>
      <c r="N257" s="149"/>
      <c r="O257" s="149"/>
      <c r="P257" s="149"/>
      <c r="Q257" s="149"/>
    </row>
    <row r="258" spans="5:17" x14ac:dyDescent="0.35">
      <c r="E258" s="149"/>
      <c r="F258" s="149"/>
      <c r="G258" s="149"/>
      <c r="H258" s="149"/>
      <c r="I258" s="149"/>
      <c r="J258" s="149"/>
      <c r="K258" s="149"/>
      <c r="L258" s="149"/>
      <c r="M258" s="149"/>
      <c r="N258" s="149"/>
      <c r="O258" s="149"/>
      <c r="P258" s="149"/>
      <c r="Q258" s="149"/>
    </row>
    <row r="259" spans="5:17" x14ac:dyDescent="0.35">
      <c r="E259" s="149"/>
      <c r="F259" s="149"/>
      <c r="G259" s="149"/>
      <c r="H259" s="149"/>
      <c r="I259" s="149"/>
      <c r="J259" s="149"/>
      <c r="K259" s="149"/>
      <c r="L259" s="149"/>
      <c r="M259" s="149"/>
      <c r="N259" s="149"/>
      <c r="O259" s="149"/>
      <c r="P259" s="149"/>
      <c r="Q259" s="149"/>
    </row>
    <row r="260" spans="5:17" x14ac:dyDescent="0.35">
      <c r="E260" s="149"/>
      <c r="F260" s="149"/>
      <c r="G260" s="149"/>
      <c r="H260" s="149"/>
      <c r="I260" s="149"/>
      <c r="J260" s="149"/>
      <c r="K260" s="149"/>
      <c r="L260" s="149"/>
      <c r="M260" s="149"/>
      <c r="N260" s="149"/>
      <c r="O260" s="149"/>
      <c r="P260" s="149"/>
      <c r="Q260" s="149"/>
    </row>
    <row r="261" spans="5:17" x14ac:dyDescent="0.35">
      <c r="E261" s="149"/>
      <c r="F261" s="149"/>
      <c r="G261" s="149"/>
      <c r="H261" s="149"/>
      <c r="I261" s="149"/>
      <c r="J261" s="149"/>
      <c r="K261" s="149"/>
      <c r="L261" s="149"/>
      <c r="M261" s="149"/>
      <c r="N261" s="149"/>
      <c r="O261" s="149"/>
      <c r="P261" s="149"/>
      <c r="Q261" s="149"/>
    </row>
    <row r="262" spans="5:17" x14ac:dyDescent="0.35">
      <c r="E262" s="149"/>
      <c r="F262" s="149"/>
      <c r="G262" s="149"/>
      <c r="H262" s="149"/>
      <c r="I262" s="149"/>
      <c r="J262" s="149"/>
      <c r="K262" s="149"/>
      <c r="L262" s="149"/>
      <c r="M262" s="149"/>
      <c r="N262" s="149"/>
      <c r="O262" s="149"/>
      <c r="P262" s="149"/>
      <c r="Q262" s="149"/>
    </row>
    <row r="263" spans="5:17" x14ac:dyDescent="0.35">
      <c r="E263" s="149"/>
      <c r="F263" s="149"/>
      <c r="G263" s="149"/>
      <c r="H263" s="149"/>
      <c r="I263" s="149"/>
      <c r="J263" s="149"/>
      <c r="K263" s="149"/>
      <c r="L263" s="149"/>
      <c r="M263" s="149"/>
      <c r="N263" s="149"/>
      <c r="O263" s="149"/>
      <c r="P263" s="149"/>
      <c r="Q263" s="149"/>
    </row>
    <row r="264" spans="5:17" x14ac:dyDescent="0.35">
      <c r="E264" s="149"/>
      <c r="F264" s="149"/>
      <c r="G264" s="149"/>
      <c r="H264" s="149"/>
      <c r="I264" s="149"/>
      <c r="J264" s="149"/>
      <c r="K264" s="149"/>
      <c r="L264" s="149"/>
      <c r="M264" s="149"/>
      <c r="N264" s="149"/>
      <c r="O264" s="149"/>
      <c r="P264" s="149"/>
      <c r="Q264" s="149"/>
    </row>
    <row r="265" spans="5:17" x14ac:dyDescent="0.35">
      <c r="E265" s="149"/>
      <c r="F265" s="149"/>
      <c r="G265" s="149"/>
      <c r="H265" s="149"/>
      <c r="I265" s="149"/>
      <c r="J265" s="149"/>
      <c r="K265" s="149"/>
      <c r="L265" s="149"/>
      <c r="M265" s="149"/>
      <c r="N265" s="149"/>
      <c r="O265" s="149"/>
      <c r="P265" s="149"/>
      <c r="Q265" s="149"/>
    </row>
    <row r="266" spans="5:17" x14ac:dyDescent="0.35">
      <c r="E266" s="149"/>
      <c r="F266" s="149"/>
      <c r="G266" s="149"/>
      <c r="H266" s="149"/>
      <c r="I266" s="149"/>
      <c r="J266" s="149"/>
      <c r="K266" s="149"/>
      <c r="L266" s="149"/>
      <c r="M266" s="149"/>
      <c r="N266" s="149"/>
      <c r="O266" s="149"/>
      <c r="P266" s="149"/>
      <c r="Q266" s="149"/>
    </row>
    <row r="267" spans="5:17" x14ac:dyDescent="0.35">
      <c r="E267" s="149"/>
      <c r="F267" s="149"/>
      <c r="G267" s="149"/>
      <c r="H267" s="149"/>
      <c r="I267" s="149"/>
      <c r="J267" s="149"/>
      <c r="K267" s="149"/>
      <c r="L267" s="149"/>
      <c r="M267" s="149"/>
      <c r="N267" s="149"/>
      <c r="O267" s="149"/>
      <c r="P267" s="149"/>
      <c r="Q267" s="149"/>
    </row>
    <row r="268" spans="5:17" x14ac:dyDescent="0.35">
      <c r="E268" s="149"/>
      <c r="F268" s="149"/>
      <c r="G268" s="149"/>
      <c r="H268" s="149"/>
      <c r="I268" s="149"/>
      <c r="J268" s="149"/>
      <c r="K268" s="149"/>
      <c r="L268" s="149"/>
      <c r="M268" s="149"/>
      <c r="N268" s="149"/>
      <c r="O268" s="149"/>
      <c r="P268" s="149"/>
      <c r="Q268" s="149"/>
    </row>
    <row r="269" spans="5:17" x14ac:dyDescent="0.35">
      <c r="E269" s="149"/>
      <c r="F269" s="149"/>
      <c r="G269" s="149"/>
      <c r="H269" s="149"/>
      <c r="I269" s="149"/>
      <c r="J269" s="149"/>
      <c r="K269" s="149"/>
      <c r="L269" s="149"/>
      <c r="M269" s="149"/>
      <c r="N269" s="149"/>
      <c r="O269" s="149"/>
      <c r="P269" s="149"/>
      <c r="Q269" s="149"/>
    </row>
    <row r="270" spans="5:17" x14ac:dyDescent="0.35">
      <c r="E270" s="149"/>
      <c r="F270" s="149"/>
      <c r="G270" s="149"/>
      <c r="H270" s="149"/>
      <c r="I270" s="149"/>
      <c r="J270" s="149"/>
      <c r="K270" s="149"/>
      <c r="L270" s="149"/>
      <c r="M270" s="149"/>
      <c r="N270" s="149"/>
      <c r="O270" s="149"/>
      <c r="P270" s="149"/>
      <c r="Q270" s="149"/>
    </row>
    <row r="271" spans="5:17" x14ac:dyDescent="0.35">
      <c r="E271" s="149"/>
      <c r="F271" s="149"/>
      <c r="G271" s="149"/>
      <c r="H271" s="149"/>
      <c r="I271" s="149"/>
      <c r="J271" s="149"/>
      <c r="K271" s="149"/>
      <c r="L271" s="149"/>
      <c r="M271" s="149"/>
      <c r="N271" s="149"/>
      <c r="O271" s="149"/>
      <c r="P271" s="149"/>
      <c r="Q271" s="149"/>
    </row>
    <row r="272" spans="5:17" x14ac:dyDescent="0.35">
      <c r="E272" s="149"/>
      <c r="F272" s="149"/>
      <c r="G272" s="149"/>
      <c r="H272" s="149"/>
      <c r="I272" s="149"/>
      <c r="J272" s="149"/>
      <c r="K272" s="149"/>
      <c r="L272" s="149"/>
      <c r="M272" s="149"/>
      <c r="N272" s="149"/>
      <c r="O272" s="149"/>
      <c r="P272" s="149"/>
      <c r="Q272" s="149"/>
    </row>
    <row r="273" spans="5:17" x14ac:dyDescent="0.35">
      <c r="E273" s="149"/>
      <c r="F273" s="149"/>
      <c r="G273" s="149"/>
      <c r="H273" s="149"/>
      <c r="I273" s="149"/>
      <c r="J273" s="149"/>
      <c r="K273" s="149"/>
      <c r="L273" s="149"/>
      <c r="M273" s="149"/>
      <c r="N273" s="149"/>
      <c r="O273" s="149"/>
      <c r="P273" s="149"/>
      <c r="Q273" s="149"/>
    </row>
    <row r="274" spans="5:17" x14ac:dyDescent="0.35">
      <c r="E274" s="149"/>
      <c r="F274" s="149"/>
      <c r="G274" s="149"/>
      <c r="H274" s="149"/>
      <c r="I274" s="149"/>
      <c r="J274" s="149"/>
      <c r="K274" s="149"/>
      <c r="L274" s="149"/>
      <c r="M274" s="149"/>
      <c r="N274" s="149"/>
      <c r="O274" s="149"/>
      <c r="P274" s="149"/>
      <c r="Q274" s="149"/>
    </row>
    <row r="275" spans="5:17" x14ac:dyDescent="0.35">
      <c r="E275" s="149"/>
      <c r="F275" s="149"/>
      <c r="G275" s="149"/>
      <c r="H275" s="149"/>
      <c r="I275" s="149"/>
      <c r="J275" s="149"/>
      <c r="K275" s="149"/>
      <c r="L275" s="149"/>
      <c r="M275" s="149"/>
      <c r="N275" s="149"/>
      <c r="O275" s="149"/>
      <c r="P275" s="149"/>
      <c r="Q275" s="149"/>
    </row>
    <row r="276" spans="5:17" x14ac:dyDescent="0.35">
      <c r="E276" s="149"/>
      <c r="F276" s="149"/>
      <c r="G276" s="149"/>
      <c r="H276" s="149"/>
      <c r="I276" s="149"/>
      <c r="J276" s="149"/>
      <c r="K276" s="149"/>
      <c r="L276" s="149"/>
      <c r="M276" s="149"/>
      <c r="N276" s="149"/>
      <c r="O276" s="149"/>
      <c r="P276" s="149"/>
      <c r="Q276" s="149"/>
    </row>
    <row r="277" spans="5:17" x14ac:dyDescent="0.35">
      <c r="E277" s="149"/>
      <c r="F277" s="149"/>
      <c r="G277" s="149"/>
      <c r="H277" s="149"/>
      <c r="I277" s="149"/>
      <c r="J277" s="149"/>
      <c r="K277" s="149"/>
      <c r="L277" s="149"/>
      <c r="M277" s="149"/>
      <c r="N277" s="149"/>
      <c r="O277" s="149"/>
      <c r="P277" s="149"/>
      <c r="Q277" s="149"/>
    </row>
    <row r="278" spans="5:17" x14ac:dyDescent="0.35">
      <c r="E278" s="149"/>
      <c r="F278" s="149"/>
      <c r="G278" s="149"/>
      <c r="H278" s="149"/>
      <c r="I278" s="149"/>
      <c r="J278" s="149"/>
      <c r="K278" s="149"/>
      <c r="L278" s="149"/>
      <c r="M278" s="149"/>
      <c r="N278" s="149"/>
      <c r="O278" s="149"/>
      <c r="P278" s="149"/>
      <c r="Q278" s="149"/>
    </row>
    <row r="279" spans="5:17" x14ac:dyDescent="0.35">
      <c r="E279" s="149"/>
      <c r="F279" s="149"/>
      <c r="G279" s="149"/>
      <c r="H279" s="149"/>
      <c r="I279" s="149"/>
      <c r="J279" s="149"/>
      <c r="K279" s="149"/>
      <c r="L279" s="149"/>
      <c r="M279" s="149"/>
      <c r="N279" s="149"/>
      <c r="O279" s="149"/>
      <c r="P279" s="149"/>
      <c r="Q279" s="149"/>
    </row>
    <row r="280" spans="5:17" x14ac:dyDescent="0.35">
      <c r="E280" s="149"/>
      <c r="F280" s="149"/>
      <c r="G280" s="149"/>
      <c r="H280" s="149"/>
      <c r="I280" s="149"/>
      <c r="J280" s="149"/>
      <c r="K280" s="149"/>
      <c r="L280" s="149"/>
      <c r="M280" s="149"/>
      <c r="N280" s="149"/>
      <c r="O280" s="149"/>
      <c r="P280" s="149"/>
      <c r="Q280" s="149"/>
    </row>
    <row r="281" spans="5:17" x14ac:dyDescent="0.35">
      <c r="E281" s="149"/>
      <c r="F281" s="149"/>
      <c r="G281" s="149"/>
      <c r="H281" s="149"/>
      <c r="I281" s="149"/>
      <c r="J281" s="149"/>
      <c r="K281" s="149"/>
      <c r="L281" s="149"/>
      <c r="M281" s="149"/>
      <c r="N281" s="149"/>
      <c r="O281" s="149"/>
      <c r="P281" s="149"/>
      <c r="Q281" s="149"/>
    </row>
    <row r="282" spans="5:17" x14ac:dyDescent="0.35">
      <c r="E282" s="149"/>
      <c r="F282" s="149"/>
      <c r="G282" s="149"/>
      <c r="H282" s="149"/>
      <c r="I282" s="149"/>
      <c r="J282" s="149"/>
      <c r="K282" s="149"/>
      <c r="L282" s="149"/>
      <c r="M282" s="149"/>
      <c r="N282" s="149"/>
      <c r="O282" s="149"/>
      <c r="P282" s="149"/>
      <c r="Q282" s="149"/>
    </row>
    <row r="283" spans="5:17" x14ac:dyDescent="0.35">
      <c r="E283" s="149"/>
      <c r="F283" s="149"/>
      <c r="G283" s="149"/>
      <c r="H283" s="149"/>
      <c r="I283" s="149"/>
      <c r="J283" s="149"/>
      <c r="K283" s="149"/>
      <c r="L283" s="149"/>
      <c r="M283" s="149"/>
      <c r="N283" s="149"/>
      <c r="O283" s="149"/>
      <c r="P283" s="149"/>
      <c r="Q283" s="149"/>
    </row>
    <row r="284" spans="5:17" x14ac:dyDescent="0.35">
      <c r="E284" s="149"/>
      <c r="F284" s="149"/>
      <c r="G284" s="149"/>
      <c r="H284" s="149"/>
      <c r="I284" s="149"/>
      <c r="J284" s="149"/>
      <c r="K284" s="149"/>
      <c r="L284" s="149"/>
      <c r="M284" s="149"/>
      <c r="N284" s="149"/>
      <c r="O284" s="149"/>
      <c r="P284" s="149"/>
      <c r="Q284" s="149"/>
    </row>
    <row r="285" spans="5:17" x14ac:dyDescent="0.35">
      <c r="E285" s="149"/>
      <c r="F285" s="149"/>
      <c r="G285" s="149"/>
      <c r="H285" s="149"/>
      <c r="I285" s="149"/>
      <c r="J285" s="149"/>
      <c r="K285" s="149"/>
      <c r="L285" s="149"/>
      <c r="M285" s="149"/>
      <c r="N285" s="149"/>
      <c r="O285" s="149"/>
      <c r="P285" s="149"/>
      <c r="Q285" s="149"/>
    </row>
    <row r="286" spans="5:17" x14ac:dyDescent="0.35">
      <c r="E286" s="149"/>
      <c r="F286" s="149"/>
      <c r="G286" s="149"/>
      <c r="H286" s="149"/>
      <c r="I286" s="149"/>
      <c r="J286" s="149"/>
      <c r="K286" s="149"/>
      <c r="L286" s="149"/>
      <c r="M286" s="149"/>
      <c r="N286" s="149"/>
      <c r="O286" s="149"/>
      <c r="P286" s="149"/>
      <c r="Q286" s="149"/>
    </row>
    <row r="287" spans="5:17" x14ac:dyDescent="0.35">
      <c r="E287" s="149"/>
      <c r="F287" s="149"/>
      <c r="G287" s="149"/>
      <c r="H287" s="149"/>
      <c r="I287" s="149"/>
      <c r="J287" s="149"/>
      <c r="K287" s="149"/>
      <c r="L287" s="149"/>
      <c r="M287" s="149"/>
      <c r="N287" s="149"/>
      <c r="O287" s="149"/>
      <c r="P287" s="149"/>
      <c r="Q287" s="149"/>
    </row>
    <row r="288" spans="5:17" x14ac:dyDescent="0.35">
      <c r="E288" s="149"/>
      <c r="F288" s="149"/>
      <c r="G288" s="149"/>
      <c r="H288" s="149"/>
      <c r="I288" s="149"/>
      <c r="J288" s="149"/>
      <c r="K288" s="149"/>
      <c r="L288" s="149"/>
      <c r="M288" s="149"/>
      <c r="N288" s="149"/>
      <c r="O288" s="149"/>
      <c r="P288" s="149"/>
      <c r="Q288" s="149"/>
    </row>
    <row r="289" spans="5:17" x14ac:dyDescent="0.35">
      <c r="E289" s="149"/>
      <c r="F289" s="149"/>
      <c r="G289" s="149"/>
      <c r="H289" s="149"/>
      <c r="I289" s="149"/>
      <c r="J289" s="149"/>
      <c r="K289" s="149"/>
      <c r="L289" s="149"/>
      <c r="M289" s="149"/>
      <c r="N289" s="149"/>
      <c r="O289" s="149"/>
      <c r="P289" s="149"/>
      <c r="Q289" s="149"/>
    </row>
    <row r="820" spans="5:5" x14ac:dyDescent="0.35">
      <c r="E820" s="110"/>
    </row>
    <row r="851" spans="5:5" x14ac:dyDescent="0.35">
      <c r="E851" s="110"/>
    </row>
    <row r="882" spans="5:5" x14ac:dyDescent="0.35">
      <c r="E882" s="110"/>
    </row>
    <row r="913" spans="5:5" x14ac:dyDescent="0.35">
      <c r="E913" s="110"/>
    </row>
    <row r="944" spans="5:5" x14ac:dyDescent="0.35">
      <c r="E944" s="110"/>
    </row>
    <row r="975" spans="5:5" x14ac:dyDescent="0.35">
      <c r="E975" s="110"/>
    </row>
    <row r="1006" spans="5:5" x14ac:dyDescent="0.35">
      <c r="E1006" s="110"/>
    </row>
    <row r="1037" spans="5:5" x14ac:dyDescent="0.35">
      <c r="E1037" s="110"/>
    </row>
  </sheetData>
  <dataConsolidate/>
  <mergeCells count="38">
    <mergeCell ref="B3:N4"/>
    <mergeCell ref="B13:N13"/>
    <mergeCell ref="B28:B35"/>
    <mergeCell ref="B18:N18"/>
    <mergeCell ref="B14:N14"/>
    <mergeCell ref="L5:N5"/>
    <mergeCell ref="L6:N6"/>
    <mergeCell ref="B8:N8"/>
    <mergeCell ref="K10:L11"/>
    <mergeCell ref="M10:N11"/>
    <mergeCell ref="C6:E6"/>
    <mergeCell ref="C9:E9"/>
    <mergeCell ref="C10:E10"/>
    <mergeCell ref="C11:E11"/>
    <mergeCell ref="B10:B11"/>
    <mergeCell ref="B16:B17"/>
    <mergeCell ref="B42:B45"/>
    <mergeCell ref="B46:N46"/>
    <mergeCell ref="N58:N59"/>
    <mergeCell ref="B48:N48"/>
    <mergeCell ref="B27:N27"/>
    <mergeCell ref="B41:N41"/>
    <mergeCell ref="B36:N36"/>
    <mergeCell ref="B37:B40"/>
    <mergeCell ref="B21:B26"/>
    <mergeCell ref="D23:D24"/>
    <mergeCell ref="E15:M15"/>
    <mergeCell ref="C21:C22"/>
    <mergeCell ref="B20:N20"/>
    <mergeCell ref="C23:C24"/>
    <mergeCell ref="L60:N60"/>
    <mergeCell ref="L61:N61"/>
    <mergeCell ref="B49:B51"/>
    <mergeCell ref="B52:B54"/>
    <mergeCell ref="B55:N55"/>
    <mergeCell ref="B57:N57"/>
    <mergeCell ref="B58:E58"/>
    <mergeCell ref="L58:M59"/>
  </mergeCells>
  <printOptions horizontalCentered="1"/>
  <pageMargins left="0.7" right="0.7" top="0.75" bottom="0.75" header="0.3" footer="0.3"/>
  <pageSetup paperSize="9" scale="46" orientation="portrait" r:id="rId1"/>
  <drawing r:id="rId2"/>
  <legacyDrawing r:id="rId3"/>
  <controls>
    <mc:AlternateContent xmlns:mc="http://schemas.openxmlformats.org/markup-compatibility/2006">
      <mc:Choice Requires="x14">
        <control shapeId="1055" r:id="rId4" name="CommandButton27">
          <controlPr defaultSize="0" autoLine="0" r:id="rId5">
            <anchor moveWithCells="1">
              <from>
                <xdr:col>3</xdr:col>
                <xdr:colOff>38100</xdr:colOff>
                <xdr:row>55</xdr:row>
                <xdr:rowOff>38100</xdr:rowOff>
              </from>
              <to>
                <xdr:col>3</xdr:col>
                <xdr:colOff>666750</xdr:colOff>
                <xdr:row>55</xdr:row>
                <xdr:rowOff>295275</xdr:rowOff>
              </to>
            </anchor>
          </controlPr>
        </control>
      </mc:Choice>
      <mc:Fallback>
        <control shapeId="1055" r:id="rId4" name="CommandButton27"/>
      </mc:Fallback>
    </mc:AlternateContent>
    <mc:AlternateContent xmlns:mc="http://schemas.openxmlformats.org/markup-compatibility/2006">
      <mc:Choice Requires="x14">
        <control shapeId="1054" r:id="rId6" name="CommandButton26">
          <controlPr defaultSize="0" autoLine="0" r:id="rId5">
            <anchor moveWithCells="1">
              <from>
                <xdr:col>3</xdr:col>
                <xdr:colOff>38100</xdr:colOff>
                <xdr:row>53</xdr:row>
                <xdr:rowOff>38100</xdr:rowOff>
              </from>
              <to>
                <xdr:col>3</xdr:col>
                <xdr:colOff>666750</xdr:colOff>
                <xdr:row>53</xdr:row>
                <xdr:rowOff>295275</xdr:rowOff>
              </to>
            </anchor>
          </controlPr>
        </control>
      </mc:Choice>
      <mc:Fallback>
        <control shapeId="1054" r:id="rId6" name="CommandButton26"/>
      </mc:Fallback>
    </mc:AlternateContent>
    <mc:AlternateContent xmlns:mc="http://schemas.openxmlformats.org/markup-compatibility/2006">
      <mc:Choice Requires="x14">
        <control shapeId="1053" r:id="rId7" name="CommandButton25">
          <controlPr defaultSize="0" autoLine="0" r:id="rId5">
            <anchor moveWithCells="1">
              <from>
                <xdr:col>3</xdr:col>
                <xdr:colOff>38100</xdr:colOff>
                <xdr:row>52</xdr:row>
                <xdr:rowOff>38100</xdr:rowOff>
              </from>
              <to>
                <xdr:col>3</xdr:col>
                <xdr:colOff>666750</xdr:colOff>
                <xdr:row>52</xdr:row>
                <xdr:rowOff>295275</xdr:rowOff>
              </to>
            </anchor>
          </controlPr>
        </control>
      </mc:Choice>
      <mc:Fallback>
        <control shapeId="1053" r:id="rId7" name="CommandButton25"/>
      </mc:Fallback>
    </mc:AlternateContent>
    <mc:AlternateContent xmlns:mc="http://schemas.openxmlformats.org/markup-compatibility/2006">
      <mc:Choice Requires="x14">
        <control shapeId="1052" r:id="rId8" name="CommandButton24">
          <controlPr defaultSize="0" autoLine="0" r:id="rId5">
            <anchor moveWithCells="1">
              <from>
                <xdr:col>3</xdr:col>
                <xdr:colOff>38100</xdr:colOff>
                <xdr:row>51</xdr:row>
                <xdr:rowOff>38100</xdr:rowOff>
              </from>
              <to>
                <xdr:col>3</xdr:col>
                <xdr:colOff>666750</xdr:colOff>
                <xdr:row>51</xdr:row>
                <xdr:rowOff>295275</xdr:rowOff>
              </to>
            </anchor>
          </controlPr>
        </control>
      </mc:Choice>
      <mc:Fallback>
        <control shapeId="1052" r:id="rId8" name="CommandButton24"/>
      </mc:Fallback>
    </mc:AlternateContent>
    <mc:AlternateContent xmlns:mc="http://schemas.openxmlformats.org/markup-compatibility/2006">
      <mc:Choice Requires="x14">
        <control shapeId="1051" r:id="rId9" name="CommandButton23">
          <controlPr defaultSize="0" autoLine="0" r:id="rId5">
            <anchor moveWithCells="1">
              <from>
                <xdr:col>3</xdr:col>
                <xdr:colOff>38100</xdr:colOff>
                <xdr:row>50</xdr:row>
                <xdr:rowOff>38100</xdr:rowOff>
              </from>
              <to>
                <xdr:col>3</xdr:col>
                <xdr:colOff>666750</xdr:colOff>
                <xdr:row>50</xdr:row>
                <xdr:rowOff>295275</xdr:rowOff>
              </to>
            </anchor>
          </controlPr>
        </control>
      </mc:Choice>
      <mc:Fallback>
        <control shapeId="1051" r:id="rId9" name="CommandButton23"/>
      </mc:Fallback>
    </mc:AlternateContent>
    <mc:AlternateContent xmlns:mc="http://schemas.openxmlformats.org/markup-compatibility/2006">
      <mc:Choice Requires="x14">
        <control shapeId="1050" r:id="rId10" name="CommandButton22">
          <controlPr defaultSize="0" autoLine="0" r:id="rId5">
            <anchor moveWithCells="1">
              <from>
                <xdr:col>3</xdr:col>
                <xdr:colOff>38100</xdr:colOff>
                <xdr:row>49</xdr:row>
                <xdr:rowOff>38100</xdr:rowOff>
              </from>
              <to>
                <xdr:col>3</xdr:col>
                <xdr:colOff>666750</xdr:colOff>
                <xdr:row>49</xdr:row>
                <xdr:rowOff>295275</xdr:rowOff>
              </to>
            </anchor>
          </controlPr>
        </control>
      </mc:Choice>
      <mc:Fallback>
        <control shapeId="1050" r:id="rId10" name="CommandButton22"/>
      </mc:Fallback>
    </mc:AlternateContent>
    <mc:AlternateContent xmlns:mc="http://schemas.openxmlformats.org/markup-compatibility/2006">
      <mc:Choice Requires="x14">
        <control shapeId="1049" r:id="rId11" name="CommandButton21">
          <controlPr defaultSize="0" autoLine="0" r:id="rId5">
            <anchor moveWithCells="1">
              <from>
                <xdr:col>3</xdr:col>
                <xdr:colOff>38100</xdr:colOff>
                <xdr:row>48</xdr:row>
                <xdr:rowOff>38100</xdr:rowOff>
              </from>
              <to>
                <xdr:col>3</xdr:col>
                <xdr:colOff>666750</xdr:colOff>
                <xdr:row>48</xdr:row>
                <xdr:rowOff>295275</xdr:rowOff>
              </to>
            </anchor>
          </controlPr>
        </control>
      </mc:Choice>
      <mc:Fallback>
        <control shapeId="1049" r:id="rId11" name="CommandButton21"/>
      </mc:Fallback>
    </mc:AlternateContent>
    <mc:AlternateContent xmlns:mc="http://schemas.openxmlformats.org/markup-compatibility/2006">
      <mc:Choice Requires="x14">
        <control shapeId="1048" r:id="rId12" name="CommandButton20">
          <controlPr defaultSize="0" autoLine="0" r:id="rId5">
            <anchor moveWithCells="1">
              <from>
                <xdr:col>3</xdr:col>
                <xdr:colOff>38100</xdr:colOff>
                <xdr:row>46</xdr:row>
                <xdr:rowOff>38100</xdr:rowOff>
              </from>
              <to>
                <xdr:col>3</xdr:col>
                <xdr:colOff>666750</xdr:colOff>
                <xdr:row>46</xdr:row>
                <xdr:rowOff>295275</xdr:rowOff>
              </to>
            </anchor>
          </controlPr>
        </control>
      </mc:Choice>
      <mc:Fallback>
        <control shapeId="1048" r:id="rId12" name="CommandButton20"/>
      </mc:Fallback>
    </mc:AlternateContent>
    <mc:AlternateContent xmlns:mc="http://schemas.openxmlformats.org/markup-compatibility/2006">
      <mc:Choice Requires="x14">
        <control shapeId="1047" r:id="rId13" name="CommandButton19">
          <controlPr defaultSize="0" autoLine="0" r:id="rId5">
            <anchor moveWithCells="1">
              <from>
                <xdr:col>3</xdr:col>
                <xdr:colOff>38100</xdr:colOff>
                <xdr:row>44</xdr:row>
                <xdr:rowOff>38100</xdr:rowOff>
              </from>
              <to>
                <xdr:col>3</xdr:col>
                <xdr:colOff>666750</xdr:colOff>
                <xdr:row>44</xdr:row>
                <xdr:rowOff>295275</xdr:rowOff>
              </to>
            </anchor>
          </controlPr>
        </control>
      </mc:Choice>
      <mc:Fallback>
        <control shapeId="1047" r:id="rId13" name="CommandButton19"/>
      </mc:Fallback>
    </mc:AlternateContent>
    <mc:AlternateContent xmlns:mc="http://schemas.openxmlformats.org/markup-compatibility/2006">
      <mc:Choice Requires="x14">
        <control shapeId="1046" r:id="rId14" name="CommandButton18">
          <controlPr defaultSize="0" autoLine="0" r:id="rId5">
            <anchor moveWithCells="1">
              <from>
                <xdr:col>3</xdr:col>
                <xdr:colOff>38100</xdr:colOff>
                <xdr:row>43</xdr:row>
                <xdr:rowOff>38100</xdr:rowOff>
              </from>
              <to>
                <xdr:col>3</xdr:col>
                <xdr:colOff>666750</xdr:colOff>
                <xdr:row>43</xdr:row>
                <xdr:rowOff>295275</xdr:rowOff>
              </to>
            </anchor>
          </controlPr>
        </control>
      </mc:Choice>
      <mc:Fallback>
        <control shapeId="1046" r:id="rId14" name="CommandButton18"/>
      </mc:Fallback>
    </mc:AlternateContent>
    <mc:AlternateContent xmlns:mc="http://schemas.openxmlformats.org/markup-compatibility/2006">
      <mc:Choice Requires="x14">
        <control shapeId="1045" r:id="rId15" name="CommandButton17">
          <controlPr defaultSize="0" autoLine="0" r:id="rId5">
            <anchor moveWithCells="1">
              <from>
                <xdr:col>3</xdr:col>
                <xdr:colOff>38100</xdr:colOff>
                <xdr:row>42</xdr:row>
                <xdr:rowOff>38100</xdr:rowOff>
              </from>
              <to>
                <xdr:col>3</xdr:col>
                <xdr:colOff>666750</xdr:colOff>
                <xdr:row>42</xdr:row>
                <xdr:rowOff>295275</xdr:rowOff>
              </to>
            </anchor>
          </controlPr>
        </control>
      </mc:Choice>
      <mc:Fallback>
        <control shapeId="1045" r:id="rId15" name="CommandButton17"/>
      </mc:Fallback>
    </mc:AlternateContent>
    <mc:AlternateContent xmlns:mc="http://schemas.openxmlformats.org/markup-compatibility/2006">
      <mc:Choice Requires="x14">
        <control shapeId="1044" r:id="rId16" name="CommandButton16">
          <controlPr defaultSize="0" autoLine="0" r:id="rId5">
            <anchor moveWithCells="1">
              <from>
                <xdr:col>3</xdr:col>
                <xdr:colOff>38100</xdr:colOff>
                <xdr:row>41</xdr:row>
                <xdr:rowOff>38100</xdr:rowOff>
              </from>
              <to>
                <xdr:col>3</xdr:col>
                <xdr:colOff>666750</xdr:colOff>
                <xdr:row>41</xdr:row>
                <xdr:rowOff>295275</xdr:rowOff>
              </to>
            </anchor>
          </controlPr>
        </control>
      </mc:Choice>
      <mc:Fallback>
        <control shapeId="1044" r:id="rId16" name="CommandButton16"/>
      </mc:Fallback>
    </mc:AlternateContent>
    <mc:AlternateContent xmlns:mc="http://schemas.openxmlformats.org/markup-compatibility/2006">
      <mc:Choice Requires="x14">
        <control shapeId="1043" r:id="rId17" name="CommandButton15">
          <controlPr defaultSize="0" autoLine="0" r:id="rId5">
            <anchor moveWithCells="1">
              <from>
                <xdr:col>3</xdr:col>
                <xdr:colOff>38100</xdr:colOff>
                <xdr:row>34</xdr:row>
                <xdr:rowOff>38100</xdr:rowOff>
              </from>
              <to>
                <xdr:col>3</xdr:col>
                <xdr:colOff>666750</xdr:colOff>
                <xdr:row>34</xdr:row>
                <xdr:rowOff>295275</xdr:rowOff>
              </to>
            </anchor>
          </controlPr>
        </control>
      </mc:Choice>
      <mc:Fallback>
        <control shapeId="1043" r:id="rId17" name="CommandButton15"/>
      </mc:Fallback>
    </mc:AlternateContent>
    <mc:AlternateContent xmlns:mc="http://schemas.openxmlformats.org/markup-compatibility/2006">
      <mc:Choice Requires="x14">
        <control shapeId="1042" r:id="rId18" name="CommandButton14">
          <controlPr defaultSize="0" autoLine="0" r:id="rId5">
            <anchor moveWithCells="1">
              <from>
                <xdr:col>3</xdr:col>
                <xdr:colOff>38100</xdr:colOff>
                <xdr:row>33</xdr:row>
                <xdr:rowOff>38100</xdr:rowOff>
              </from>
              <to>
                <xdr:col>3</xdr:col>
                <xdr:colOff>666750</xdr:colOff>
                <xdr:row>33</xdr:row>
                <xdr:rowOff>295275</xdr:rowOff>
              </to>
            </anchor>
          </controlPr>
        </control>
      </mc:Choice>
      <mc:Fallback>
        <control shapeId="1042" r:id="rId18" name="CommandButton14"/>
      </mc:Fallback>
    </mc:AlternateContent>
    <mc:AlternateContent xmlns:mc="http://schemas.openxmlformats.org/markup-compatibility/2006">
      <mc:Choice Requires="x14">
        <control shapeId="1041" r:id="rId19" name="CommandButton13">
          <controlPr defaultSize="0" autoLine="0" r:id="rId5">
            <anchor moveWithCells="1">
              <from>
                <xdr:col>3</xdr:col>
                <xdr:colOff>38100</xdr:colOff>
                <xdr:row>32</xdr:row>
                <xdr:rowOff>38100</xdr:rowOff>
              </from>
              <to>
                <xdr:col>3</xdr:col>
                <xdr:colOff>666750</xdr:colOff>
                <xdr:row>32</xdr:row>
                <xdr:rowOff>295275</xdr:rowOff>
              </to>
            </anchor>
          </controlPr>
        </control>
      </mc:Choice>
      <mc:Fallback>
        <control shapeId="1041" r:id="rId19" name="CommandButton13"/>
      </mc:Fallback>
    </mc:AlternateContent>
    <mc:AlternateContent xmlns:mc="http://schemas.openxmlformats.org/markup-compatibility/2006">
      <mc:Choice Requires="x14">
        <control shapeId="1040" r:id="rId20" name="CommandButton12">
          <controlPr defaultSize="0" autoLine="0" r:id="rId5">
            <anchor moveWithCells="1">
              <from>
                <xdr:col>3</xdr:col>
                <xdr:colOff>38100</xdr:colOff>
                <xdr:row>31</xdr:row>
                <xdr:rowOff>38100</xdr:rowOff>
              </from>
              <to>
                <xdr:col>3</xdr:col>
                <xdr:colOff>666750</xdr:colOff>
                <xdr:row>31</xdr:row>
                <xdr:rowOff>295275</xdr:rowOff>
              </to>
            </anchor>
          </controlPr>
        </control>
      </mc:Choice>
      <mc:Fallback>
        <control shapeId="1040" r:id="rId20" name="CommandButton12"/>
      </mc:Fallback>
    </mc:AlternateContent>
    <mc:AlternateContent xmlns:mc="http://schemas.openxmlformats.org/markup-compatibility/2006">
      <mc:Choice Requires="x14">
        <control shapeId="1039" r:id="rId21" name="CommandButton11">
          <controlPr defaultSize="0" autoLine="0" r:id="rId5">
            <anchor moveWithCells="1">
              <from>
                <xdr:col>3</xdr:col>
                <xdr:colOff>38100</xdr:colOff>
                <xdr:row>30</xdr:row>
                <xdr:rowOff>38100</xdr:rowOff>
              </from>
              <to>
                <xdr:col>3</xdr:col>
                <xdr:colOff>666750</xdr:colOff>
                <xdr:row>30</xdr:row>
                <xdr:rowOff>295275</xdr:rowOff>
              </to>
            </anchor>
          </controlPr>
        </control>
      </mc:Choice>
      <mc:Fallback>
        <control shapeId="1039" r:id="rId21" name="CommandButton11"/>
      </mc:Fallback>
    </mc:AlternateContent>
    <mc:AlternateContent xmlns:mc="http://schemas.openxmlformats.org/markup-compatibility/2006">
      <mc:Choice Requires="x14">
        <control shapeId="1038" r:id="rId22" name="CommandButton10">
          <controlPr defaultSize="0" autoLine="0" r:id="rId5">
            <anchor moveWithCells="1">
              <from>
                <xdr:col>3</xdr:col>
                <xdr:colOff>38100</xdr:colOff>
                <xdr:row>29</xdr:row>
                <xdr:rowOff>38100</xdr:rowOff>
              </from>
              <to>
                <xdr:col>3</xdr:col>
                <xdr:colOff>666750</xdr:colOff>
                <xdr:row>29</xdr:row>
                <xdr:rowOff>295275</xdr:rowOff>
              </to>
            </anchor>
          </controlPr>
        </control>
      </mc:Choice>
      <mc:Fallback>
        <control shapeId="1038" r:id="rId22" name="CommandButton10"/>
      </mc:Fallback>
    </mc:AlternateContent>
    <mc:AlternateContent xmlns:mc="http://schemas.openxmlformats.org/markup-compatibility/2006">
      <mc:Choice Requires="x14">
        <control shapeId="1037" r:id="rId23" name="CommandButton9">
          <controlPr defaultSize="0" autoLine="0" r:id="rId5">
            <anchor moveWithCells="1">
              <from>
                <xdr:col>3</xdr:col>
                <xdr:colOff>38100</xdr:colOff>
                <xdr:row>28</xdr:row>
                <xdr:rowOff>38100</xdr:rowOff>
              </from>
              <to>
                <xdr:col>3</xdr:col>
                <xdr:colOff>666750</xdr:colOff>
                <xdr:row>28</xdr:row>
                <xdr:rowOff>295275</xdr:rowOff>
              </to>
            </anchor>
          </controlPr>
        </control>
      </mc:Choice>
      <mc:Fallback>
        <control shapeId="1037" r:id="rId23" name="CommandButton9"/>
      </mc:Fallback>
    </mc:AlternateContent>
    <mc:AlternateContent xmlns:mc="http://schemas.openxmlformats.org/markup-compatibility/2006">
      <mc:Choice Requires="x14">
        <control shapeId="1036" r:id="rId24" name="CommandButton8">
          <controlPr defaultSize="0" autoLine="0" r:id="rId5">
            <anchor moveWithCells="1">
              <from>
                <xdr:col>3</xdr:col>
                <xdr:colOff>38100</xdr:colOff>
                <xdr:row>27</xdr:row>
                <xdr:rowOff>38100</xdr:rowOff>
              </from>
              <to>
                <xdr:col>3</xdr:col>
                <xdr:colOff>666750</xdr:colOff>
                <xdr:row>27</xdr:row>
                <xdr:rowOff>295275</xdr:rowOff>
              </to>
            </anchor>
          </controlPr>
        </control>
      </mc:Choice>
      <mc:Fallback>
        <control shapeId="1036" r:id="rId24" name="CommandButton8"/>
      </mc:Fallback>
    </mc:AlternateContent>
    <mc:AlternateContent xmlns:mc="http://schemas.openxmlformats.org/markup-compatibility/2006">
      <mc:Choice Requires="x14">
        <control shapeId="1035" r:id="rId25" name="CommandButton7">
          <controlPr defaultSize="0" autoLine="0" r:id="rId5">
            <anchor moveWithCells="1">
              <from>
                <xdr:col>3</xdr:col>
                <xdr:colOff>38100</xdr:colOff>
                <xdr:row>25</xdr:row>
                <xdr:rowOff>38100</xdr:rowOff>
              </from>
              <to>
                <xdr:col>3</xdr:col>
                <xdr:colOff>666750</xdr:colOff>
                <xdr:row>25</xdr:row>
                <xdr:rowOff>295275</xdr:rowOff>
              </to>
            </anchor>
          </controlPr>
        </control>
      </mc:Choice>
      <mc:Fallback>
        <control shapeId="1035" r:id="rId25" name="CommandButton7"/>
      </mc:Fallback>
    </mc:AlternateContent>
    <mc:AlternateContent xmlns:mc="http://schemas.openxmlformats.org/markup-compatibility/2006">
      <mc:Choice Requires="x14">
        <control shapeId="1034" r:id="rId26" name="CommandButton6">
          <controlPr defaultSize="0" autoLine="0" r:id="rId5">
            <anchor moveWithCells="1">
              <from>
                <xdr:col>3</xdr:col>
                <xdr:colOff>38100</xdr:colOff>
                <xdr:row>24</xdr:row>
                <xdr:rowOff>38100</xdr:rowOff>
              </from>
              <to>
                <xdr:col>3</xdr:col>
                <xdr:colOff>666750</xdr:colOff>
                <xdr:row>24</xdr:row>
                <xdr:rowOff>295275</xdr:rowOff>
              </to>
            </anchor>
          </controlPr>
        </control>
      </mc:Choice>
      <mc:Fallback>
        <control shapeId="1034" r:id="rId26" name="CommandButton6"/>
      </mc:Fallback>
    </mc:AlternateContent>
    <mc:AlternateContent xmlns:mc="http://schemas.openxmlformats.org/markup-compatibility/2006">
      <mc:Choice Requires="x14">
        <control shapeId="1033" r:id="rId27" name="CommandButton5">
          <controlPr defaultSize="0" autoLine="0" r:id="rId5">
            <anchor moveWithCells="1">
              <from>
                <xdr:col>3</xdr:col>
                <xdr:colOff>38100</xdr:colOff>
                <xdr:row>22</xdr:row>
                <xdr:rowOff>38100</xdr:rowOff>
              </from>
              <to>
                <xdr:col>3</xdr:col>
                <xdr:colOff>666750</xdr:colOff>
                <xdr:row>22</xdr:row>
                <xdr:rowOff>295275</xdr:rowOff>
              </to>
            </anchor>
          </controlPr>
        </control>
      </mc:Choice>
      <mc:Fallback>
        <control shapeId="1033" r:id="rId27" name="CommandButton5"/>
      </mc:Fallback>
    </mc:AlternateContent>
    <mc:AlternateContent xmlns:mc="http://schemas.openxmlformats.org/markup-compatibility/2006">
      <mc:Choice Requires="x14">
        <control shapeId="1032" r:id="rId28" name="CommandButton4">
          <controlPr defaultSize="0" autoLine="0" r:id="rId5">
            <anchor moveWithCells="1">
              <from>
                <xdr:col>3</xdr:col>
                <xdr:colOff>38100</xdr:colOff>
                <xdr:row>20</xdr:row>
                <xdr:rowOff>38100</xdr:rowOff>
              </from>
              <to>
                <xdr:col>3</xdr:col>
                <xdr:colOff>666750</xdr:colOff>
                <xdr:row>20</xdr:row>
                <xdr:rowOff>295275</xdr:rowOff>
              </to>
            </anchor>
          </controlPr>
        </control>
      </mc:Choice>
      <mc:Fallback>
        <control shapeId="1032" r:id="rId28" name="CommandButton4"/>
      </mc:Fallback>
    </mc:AlternateContent>
    <mc:AlternateContent xmlns:mc="http://schemas.openxmlformats.org/markup-compatibility/2006">
      <mc:Choice Requires="x14">
        <control shapeId="1031" r:id="rId29" name="CommandButton3">
          <controlPr defaultSize="0" autoLine="0" r:id="rId5">
            <anchor moveWithCells="1">
              <from>
                <xdr:col>3</xdr:col>
                <xdr:colOff>38100</xdr:colOff>
                <xdr:row>18</xdr:row>
                <xdr:rowOff>28575</xdr:rowOff>
              </from>
              <to>
                <xdr:col>3</xdr:col>
                <xdr:colOff>666750</xdr:colOff>
                <xdr:row>18</xdr:row>
                <xdr:rowOff>285750</xdr:rowOff>
              </to>
            </anchor>
          </controlPr>
        </control>
      </mc:Choice>
      <mc:Fallback>
        <control shapeId="1031" r:id="rId29" name="CommandButton3"/>
      </mc:Fallback>
    </mc:AlternateContent>
    <mc:AlternateContent xmlns:mc="http://schemas.openxmlformats.org/markup-compatibility/2006">
      <mc:Choice Requires="x14">
        <control shapeId="1028" r:id="rId30" name="CommandButton2">
          <controlPr defaultSize="0" autoLine="0" r:id="rId5">
            <anchor moveWithCells="1">
              <from>
                <xdr:col>3</xdr:col>
                <xdr:colOff>38100</xdr:colOff>
                <xdr:row>16</xdr:row>
                <xdr:rowOff>28575</xdr:rowOff>
              </from>
              <to>
                <xdr:col>3</xdr:col>
                <xdr:colOff>666750</xdr:colOff>
                <xdr:row>16</xdr:row>
                <xdr:rowOff>285750</xdr:rowOff>
              </to>
            </anchor>
          </controlPr>
        </control>
      </mc:Choice>
      <mc:Fallback>
        <control shapeId="1028" r:id="rId30" name="CommandButton2"/>
      </mc:Fallback>
    </mc:AlternateContent>
    <mc:AlternateContent xmlns:mc="http://schemas.openxmlformats.org/markup-compatibility/2006">
      <mc:Choice Requires="x14">
        <control shapeId="1027" r:id="rId31" name="CommandButton1">
          <controlPr defaultSize="0" autoLine="0" r:id="rId5">
            <anchor moveWithCells="1">
              <from>
                <xdr:col>3</xdr:col>
                <xdr:colOff>38100</xdr:colOff>
                <xdr:row>15</xdr:row>
                <xdr:rowOff>28575</xdr:rowOff>
              </from>
              <to>
                <xdr:col>3</xdr:col>
                <xdr:colOff>666750</xdr:colOff>
                <xdr:row>15</xdr:row>
                <xdr:rowOff>285750</xdr:rowOff>
              </to>
            </anchor>
          </controlPr>
        </control>
      </mc:Choice>
      <mc:Fallback>
        <control shapeId="1027" r:id="rId31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1">
        <x14:dataValidation type="list" allowBlank="1" showInputMessage="1" showErrorMessage="1" xr:uid="{60CFE858-CB77-4A90-8B1B-F4D0DF6E9CDB}">
          <x14:formula1>
            <xm:f>Data!$B$3:$B$12</xm:f>
          </x14:formula1>
          <xm:sqref>E16</xm:sqref>
        </x14:dataValidation>
        <x14:dataValidation type="list" allowBlank="1" showInputMessage="1" showErrorMessage="1" xr:uid="{BACAEA05-1472-4406-A744-F3C14894C307}">
          <x14:formula1>
            <xm:f>Data!$B$13:$B$18</xm:f>
          </x14:formula1>
          <xm:sqref>E17</xm:sqref>
        </x14:dataValidation>
        <x14:dataValidation type="list" allowBlank="1" showInputMessage="1" showErrorMessage="1" xr:uid="{9C1D5874-B925-4F10-9300-7CD6E26FCFD9}">
          <x14:formula1>
            <xm:f>Data!$B$19:$B$25</xm:f>
          </x14:formula1>
          <xm:sqref>E19</xm:sqref>
        </x14:dataValidation>
        <x14:dataValidation type="list" allowBlank="1" showInputMessage="1" showErrorMessage="1" xr:uid="{340B2DDA-F730-4622-9662-768C86FF8BD9}">
          <x14:formula1>
            <xm:f>Data!$B$26:$B$31</xm:f>
          </x14:formula1>
          <xm:sqref>E21</xm:sqref>
        </x14:dataValidation>
        <x14:dataValidation type="list" allowBlank="1" showInputMessage="1" showErrorMessage="1" xr:uid="{4654303D-26B0-44A0-B2E0-F3521604E446}">
          <x14:formula1>
            <xm:f>Data!$B$32:$B$37</xm:f>
          </x14:formula1>
          <xm:sqref>E23</xm:sqref>
        </x14:dataValidation>
        <x14:dataValidation type="list" allowBlank="1" showInputMessage="1" showErrorMessage="1" xr:uid="{E8934FE0-1EC5-402E-8F6B-103007A340A7}">
          <x14:formula1>
            <xm:f>Data!$B$38:$B$43</xm:f>
          </x14:formula1>
          <xm:sqref>E25</xm:sqref>
        </x14:dataValidation>
        <x14:dataValidation type="list" allowBlank="1" showInputMessage="1" showErrorMessage="1" xr:uid="{0B5C7135-655F-41BF-A0E2-F1BDDCF60F9A}">
          <x14:formula1>
            <xm:f>Data!$B$44:$B$48</xm:f>
          </x14:formula1>
          <xm:sqref>E26</xm:sqref>
        </x14:dataValidation>
        <x14:dataValidation type="list" allowBlank="1" showInputMessage="1" showErrorMessage="1" xr:uid="{F3F1AEBF-2CAB-475F-8666-3FE0BD7D9A11}">
          <x14:formula1>
            <xm:f>Data!$B$49:$B$54</xm:f>
          </x14:formula1>
          <xm:sqref>E28</xm:sqref>
        </x14:dataValidation>
        <x14:dataValidation type="list" allowBlank="1" showInputMessage="1" showErrorMessage="1" xr:uid="{1DCB1679-22B8-4E18-8AEC-49359DDEA230}">
          <x14:formula1>
            <xm:f>Data!$B$55:$B$58</xm:f>
          </x14:formula1>
          <xm:sqref>E29</xm:sqref>
        </x14:dataValidation>
        <x14:dataValidation type="list" allowBlank="1" showInputMessage="1" showErrorMessage="1" xr:uid="{4E9F706A-8F2F-44AD-B94D-EC7D92C27479}">
          <x14:formula1>
            <xm:f>Data!$B$59:$B$65</xm:f>
          </x14:formula1>
          <xm:sqref>E30</xm:sqref>
        </x14:dataValidation>
        <x14:dataValidation type="list" allowBlank="1" showInputMessage="1" showErrorMessage="1" xr:uid="{192BCD83-A22E-4E17-98BF-7D47208620BC}">
          <x14:formula1>
            <xm:f>Data!$B$66:$B$69</xm:f>
          </x14:formula1>
          <xm:sqref>E31</xm:sqref>
        </x14:dataValidation>
        <x14:dataValidation type="list" allowBlank="1" showInputMessage="1" showErrorMessage="1" xr:uid="{489C76F4-0B94-4DA5-83FB-D8E38C23EED8}">
          <x14:formula1>
            <xm:f>Data!$B$70:$B$74</xm:f>
          </x14:formula1>
          <xm:sqref>E32</xm:sqref>
        </x14:dataValidation>
        <x14:dataValidation type="list" allowBlank="1" showInputMessage="1" showErrorMessage="1" xr:uid="{DBE17F30-04B6-40C2-B7FC-7FB519A37F09}">
          <x14:formula1>
            <xm:f>Data!$B$75:$B$79</xm:f>
          </x14:formula1>
          <xm:sqref>E33</xm:sqref>
        </x14:dataValidation>
        <x14:dataValidation type="list" allowBlank="1" showInputMessage="1" showErrorMessage="1" xr:uid="{88A2A18C-A572-471A-B419-3AF6B450EC2C}">
          <x14:formula1>
            <xm:f>Data!$B$80:$B$84</xm:f>
          </x14:formula1>
          <xm:sqref>E34</xm:sqref>
        </x14:dataValidation>
        <x14:dataValidation type="list" allowBlank="1" showInputMessage="1" showErrorMessage="1" xr:uid="{6DDF1C4B-D654-49A4-83C0-A344997C57C7}">
          <x14:formula1>
            <xm:f>Data!$B$85:$B$89</xm:f>
          </x14:formula1>
          <xm:sqref>E35</xm:sqref>
        </x14:dataValidation>
        <x14:dataValidation type="list" allowBlank="1" showInputMessage="1" showErrorMessage="1" xr:uid="{D9661698-EA52-413D-B383-EF4AA294FC45}">
          <x14:formula1>
            <xm:f>Data!$B$90:$B$95</xm:f>
          </x14:formula1>
          <xm:sqref>E37</xm:sqref>
        </x14:dataValidation>
        <x14:dataValidation type="list" allowBlank="1" showInputMessage="1" showErrorMessage="1" xr:uid="{70C7EAA7-AF49-4632-990A-6C8719C43A8B}">
          <x14:formula1>
            <xm:f>Data!$B$96:$B$101</xm:f>
          </x14:formula1>
          <xm:sqref>E38</xm:sqref>
        </x14:dataValidation>
        <x14:dataValidation type="list" allowBlank="1" showInputMessage="1" showErrorMessage="1" xr:uid="{9714A089-A279-4D78-83AD-9EE1C8CEFF92}">
          <x14:formula1>
            <xm:f>Data!$B$102:$B$109</xm:f>
          </x14:formula1>
          <xm:sqref>E39</xm:sqref>
        </x14:dataValidation>
        <x14:dataValidation type="list" allowBlank="1" showInputMessage="1" showErrorMessage="1" xr:uid="{198DCAC1-C5CA-4053-89AD-4A46C621850A}">
          <x14:formula1>
            <xm:f>Data!$B$110:$B$114</xm:f>
          </x14:formula1>
          <xm:sqref>E40</xm:sqref>
        </x14:dataValidation>
        <x14:dataValidation type="list" allowBlank="1" showInputMessage="1" showErrorMessage="1" xr:uid="{17E65203-3F32-4609-9542-81F0C315D0E7}">
          <x14:formula1>
            <xm:f>Data!$B$115:$B$116</xm:f>
          </x14:formula1>
          <xm:sqref>E42</xm:sqref>
        </x14:dataValidation>
        <x14:dataValidation type="list" allowBlank="1" showInputMessage="1" showErrorMessage="1" xr:uid="{01B1FBE0-8643-4273-9511-6B2B78D4EDBF}">
          <x14:formula1>
            <xm:f>Data!$B$117:$B$120</xm:f>
          </x14:formula1>
          <xm:sqref>E43</xm:sqref>
        </x14:dataValidation>
        <x14:dataValidation type="list" allowBlank="1" showInputMessage="1" showErrorMessage="1" xr:uid="{FFEDCEEC-4BEE-4D8E-8EC1-042B8D457EAE}">
          <x14:formula1>
            <xm:f>Data!$B$121:$B$124</xm:f>
          </x14:formula1>
          <xm:sqref>E44</xm:sqref>
        </x14:dataValidation>
        <x14:dataValidation type="list" allowBlank="1" showInputMessage="1" showErrorMessage="1" xr:uid="{FA998454-CB16-4B29-87CE-79CB7701B6A6}">
          <x14:formula1>
            <xm:f>Data!$B$125:$B$128</xm:f>
          </x14:formula1>
          <xm:sqref>E45</xm:sqref>
        </x14:dataValidation>
        <x14:dataValidation type="list" allowBlank="1" showInputMessage="1" showErrorMessage="1" xr:uid="{CDA6F6DA-50D8-4DBC-9CA3-9D93AA24F5D6}">
          <x14:formula1>
            <xm:f>Data!$B$129:$B$134</xm:f>
          </x14:formula1>
          <xm:sqref>E47</xm:sqref>
        </x14:dataValidation>
        <x14:dataValidation type="list" allowBlank="1" showInputMessage="1" showErrorMessage="1" xr:uid="{7CD96D4F-A8B9-4767-9946-5E7C95BEC330}">
          <x14:formula1>
            <xm:f>Data!$B$135:$B$139</xm:f>
          </x14:formula1>
          <xm:sqref>E49</xm:sqref>
        </x14:dataValidation>
        <x14:dataValidation type="list" allowBlank="1" showInputMessage="1" showErrorMessage="1" xr:uid="{7000DD8A-46FF-4A1E-B2F3-029838A1BC1E}">
          <x14:formula1>
            <xm:f>Data!$B$140:$B$144</xm:f>
          </x14:formula1>
          <xm:sqref>E50</xm:sqref>
        </x14:dataValidation>
        <x14:dataValidation type="list" allowBlank="1" showInputMessage="1" showErrorMessage="1" xr:uid="{D99E49D0-7B8F-400D-A93D-52F1B503F45C}">
          <x14:formula1>
            <xm:f>Data!$B$145:$B$148</xm:f>
          </x14:formula1>
          <xm:sqref>E51</xm:sqref>
        </x14:dataValidation>
        <x14:dataValidation type="list" allowBlank="1" showInputMessage="1" showErrorMessage="1" xr:uid="{CB4FF7A3-A15A-4AF8-842F-184057F2C931}">
          <x14:formula1>
            <xm:f>Data!$B$153:$B$158</xm:f>
          </x14:formula1>
          <xm:sqref>E53</xm:sqref>
        </x14:dataValidation>
        <x14:dataValidation type="list" allowBlank="1" showInputMessage="1" showErrorMessage="1" xr:uid="{34F01041-570E-4B8F-B79E-E752A81E509C}">
          <x14:formula1>
            <xm:f>Data!$B$149:$B$152</xm:f>
          </x14:formula1>
          <xm:sqref>E52</xm:sqref>
        </x14:dataValidation>
        <x14:dataValidation type="list" allowBlank="1" showInputMessage="1" showErrorMessage="1" xr:uid="{787008F5-EC87-4569-BF6E-258E377506C7}">
          <x14:formula1>
            <xm:f>Data!$B$159:$B$162</xm:f>
          </x14:formula1>
          <xm:sqref>E54</xm:sqref>
        </x14:dataValidation>
        <x14:dataValidation type="list" allowBlank="1" showInputMessage="1" showErrorMessage="1" xr:uid="{D1CD802E-C479-412F-82D5-1733F785B2D7}">
          <x14:formula1>
            <xm:f>Data!$B$163:$B$167</xm:f>
          </x14:formula1>
          <xm:sqref>E56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86FCC-4F90-41E4-8400-B79B5C511AAE}">
  <dimension ref="B4:B193"/>
  <sheetViews>
    <sheetView topLeftCell="A93" workbookViewId="0">
      <selection activeCell="I75" sqref="I75"/>
    </sheetView>
  </sheetViews>
  <sheetFormatPr defaultRowHeight="15" x14ac:dyDescent="0.25"/>
  <sheetData>
    <row r="4" spans="2:2" x14ac:dyDescent="0.25">
      <c r="B4" t="s">
        <v>37</v>
      </c>
    </row>
    <row r="5" spans="2:2" x14ac:dyDescent="0.25">
      <c r="B5" t="s">
        <v>40</v>
      </c>
    </row>
    <row r="6" spans="2:2" x14ac:dyDescent="0.25">
      <c r="B6" t="s">
        <v>44</v>
      </c>
    </row>
    <row r="7" spans="2:2" x14ac:dyDescent="0.25">
      <c r="B7" t="s">
        <v>363</v>
      </c>
    </row>
    <row r="8" spans="2:2" x14ac:dyDescent="0.25">
      <c r="B8" t="s">
        <v>50</v>
      </c>
    </row>
    <row r="9" spans="2:2" x14ac:dyDescent="0.25">
      <c r="B9" t="s">
        <v>53</v>
      </c>
    </row>
    <row r="10" spans="2:2" x14ac:dyDescent="0.25">
      <c r="B10" t="s">
        <v>55</v>
      </c>
    </row>
    <row r="11" spans="2:2" x14ac:dyDescent="0.25">
      <c r="B11" t="s">
        <v>57</v>
      </c>
    </row>
    <row r="12" spans="2:2" x14ac:dyDescent="0.25">
      <c r="B12" t="s">
        <v>364</v>
      </c>
    </row>
    <row r="14" spans="2:2" x14ac:dyDescent="0.25">
      <c r="B14" t="s">
        <v>365</v>
      </c>
    </row>
    <row r="15" spans="2:2" x14ac:dyDescent="0.25">
      <c r="B15" t="s">
        <v>366</v>
      </c>
    </row>
    <row r="16" spans="2:2" x14ac:dyDescent="0.25">
      <c r="B16" t="s">
        <v>367</v>
      </c>
    </row>
    <row r="17" spans="2:2" x14ac:dyDescent="0.25">
      <c r="B17" t="s">
        <v>66</v>
      </c>
    </row>
    <row r="18" spans="2:2" x14ac:dyDescent="0.25">
      <c r="B18" t="s">
        <v>70</v>
      </c>
    </row>
    <row r="20" spans="2:2" x14ac:dyDescent="0.25">
      <c r="B20" t="s">
        <v>83</v>
      </c>
    </row>
    <row r="21" spans="2:2" x14ac:dyDescent="0.25">
      <c r="B21" t="s">
        <v>87</v>
      </c>
    </row>
    <row r="22" spans="2:2" x14ac:dyDescent="0.25">
      <c r="B22" t="s">
        <v>89</v>
      </c>
    </row>
    <row r="23" spans="2:2" x14ac:dyDescent="0.25">
      <c r="B23" t="s">
        <v>90</v>
      </c>
    </row>
    <row r="24" spans="2:2" x14ac:dyDescent="0.25">
      <c r="B24" t="s">
        <v>92</v>
      </c>
    </row>
    <row r="25" spans="2:2" x14ac:dyDescent="0.25">
      <c r="B25" t="s">
        <v>93</v>
      </c>
    </row>
    <row r="27" spans="2:2" x14ac:dyDescent="0.25">
      <c r="B27" t="s">
        <v>368</v>
      </c>
    </row>
    <row r="28" spans="2:2" x14ac:dyDescent="0.25">
      <c r="B28" t="s">
        <v>369</v>
      </c>
    </row>
    <row r="29" spans="2:2" x14ac:dyDescent="0.25">
      <c r="B29" t="s">
        <v>370</v>
      </c>
    </row>
    <row r="30" spans="2:2" x14ac:dyDescent="0.25">
      <c r="B30" t="s">
        <v>371</v>
      </c>
    </row>
    <row r="31" spans="2:2" x14ac:dyDescent="0.25">
      <c r="B31" t="s">
        <v>372</v>
      </c>
    </row>
    <row r="33" spans="2:2" x14ac:dyDescent="0.25">
      <c r="B33" t="s">
        <v>373</v>
      </c>
    </row>
    <row r="34" spans="2:2" x14ac:dyDescent="0.25">
      <c r="B34" t="s">
        <v>374</v>
      </c>
    </row>
    <row r="35" spans="2:2" x14ac:dyDescent="0.25">
      <c r="B35" t="s">
        <v>375</v>
      </c>
    </row>
    <row r="36" spans="2:2" x14ac:dyDescent="0.25">
      <c r="B36" t="s">
        <v>376</v>
      </c>
    </row>
    <row r="37" spans="2:2" x14ac:dyDescent="0.25">
      <c r="B37" t="s">
        <v>377</v>
      </c>
    </row>
    <row r="39" spans="2:2" x14ac:dyDescent="0.25">
      <c r="B39" t="s">
        <v>378</v>
      </c>
    </row>
    <row r="40" spans="2:2" x14ac:dyDescent="0.25">
      <c r="B40" t="s">
        <v>127</v>
      </c>
    </row>
    <row r="41" spans="2:2" x14ac:dyDescent="0.25">
      <c r="B41" t="s">
        <v>130</v>
      </c>
    </row>
    <row r="42" spans="2:2" x14ac:dyDescent="0.25">
      <c r="B42" t="s">
        <v>132</v>
      </c>
    </row>
    <row r="43" spans="2:2" x14ac:dyDescent="0.25">
      <c r="B43" t="s">
        <v>134</v>
      </c>
    </row>
    <row r="45" spans="2:2" x14ac:dyDescent="0.25">
      <c r="B45" t="s">
        <v>137</v>
      </c>
    </row>
    <row r="46" spans="2:2" x14ac:dyDescent="0.25">
      <c r="B46" t="s">
        <v>379</v>
      </c>
    </row>
    <row r="47" spans="2:2" x14ac:dyDescent="0.25">
      <c r="B47" t="s">
        <v>380</v>
      </c>
    </row>
    <row r="48" spans="2:2" x14ac:dyDescent="0.25">
      <c r="B48" t="s">
        <v>143</v>
      </c>
    </row>
    <row r="50" spans="2:2" x14ac:dyDescent="0.25">
      <c r="B50" t="s">
        <v>381</v>
      </c>
    </row>
    <row r="51" spans="2:2" x14ac:dyDescent="0.25">
      <c r="B51" t="s">
        <v>382</v>
      </c>
    </row>
    <row r="52" spans="2:2" x14ac:dyDescent="0.25">
      <c r="B52" t="s">
        <v>383</v>
      </c>
    </row>
    <row r="53" spans="2:2" x14ac:dyDescent="0.25">
      <c r="B53" t="s">
        <v>384</v>
      </c>
    </row>
    <row r="54" spans="2:2" x14ac:dyDescent="0.25">
      <c r="B54" t="s">
        <v>156</v>
      </c>
    </row>
    <row r="56" spans="2:2" x14ac:dyDescent="0.25">
      <c r="B56" t="s">
        <v>381</v>
      </c>
    </row>
    <row r="57" spans="2:2" x14ac:dyDescent="0.25">
      <c r="B57" t="s">
        <v>385</v>
      </c>
    </row>
    <row r="58" spans="2:2" x14ac:dyDescent="0.25">
      <c r="B58" t="s">
        <v>386</v>
      </c>
    </row>
    <row r="60" spans="2:2" ht="17.25" x14ac:dyDescent="0.25">
      <c r="B60" t="s">
        <v>434</v>
      </c>
    </row>
    <row r="61" spans="2:2" ht="17.25" x14ac:dyDescent="0.25">
      <c r="B61" s="111" t="s">
        <v>433</v>
      </c>
    </row>
    <row r="62" spans="2:2" ht="17.25" x14ac:dyDescent="0.25">
      <c r="B62" t="s">
        <v>431</v>
      </c>
    </row>
    <row r="63" spans="2:2" ht="17.25" x14ac:dyDescent="0.25">
      <c r="B63" t="s">
        <v>432</v>
      </c>
    </row>
    <row r="64" spans="2:2" ht="17.25" x14ac:dyDescent="0.25">
      <c r="B64" t="s">
        <v>430</v>
      </c>
    </row>
    <row r="65" spans="2:2" ht="17.25" x14ac:dyDescent="0.25">
      <c r="B65" t="s">
        <v>429</v>
      </c>
    </row>
    <row r="67" spans="2:2" x14ac:dyDescent="0.25">
      <c r="B67" t="s">
        <v>173</v>
      </c>
    </row>
    <row r="68" spans="2:2" x14ac:dyDescent="0.25">
      <c r="B68" t="s">
        <v>174</v>
      </c>
    </row>
    <row r="69" spans="2:2" x14ac:dyDescent="0.25">
      <c r="B69" t="s">
        <v>175</v>
      </c>
    </row>
    <row r="71" spans="2:2" x14ac:dyDescent="0.25">
      <c r="B71" t="s">
        <v>388</v>
      </c>
    </row>
    <row r="72" spans="2:2" x14ac:dyDescent="0.25">
      <c r="B72" t="s">
        <v>178</v>
      </c>
    </row>
    <row r="73" spans="2:2" x14ac:dyDescent="0.25">
      <c r="B73" t="s">
        <v>179</v>
      </c>
    </row>
    <row r="74" spans="2:2" x14ac:dyDescent="0.25">
      <c r="B74" t="s">
        <v>175</v>
      </c>
    </row>
    <row r="76" spans="2:2" x14ac:dyDescent="0.25">
      <c r="B76" t="s">
        <v>181</v>
      </c>
    </row>
    <row r="77" spans="2:2" x14ac:dyDescent="0.25">
      <c r="B77" t="s">
        <v>182</v>
      </c>
    </row>
    <row r="78" spans="2:2" x14ac:dyDescent="0.25">
      <c r="B78" t="s">
        <v>183</v>
      </c>
    </row>
    <row r="79" spans="2:2" x14ac:dyDescent="0.25">
      <c r="B79" t="s">
        <v>184</v>
      </c>
    </row>
    <row r="81" spans="2:2" x14ac:dyDescent="0.25">
      <c r="B81" t="s">
        <v>181</v>
      </c>
    </row>
    <row r="82" spans="2:2" x14ac:dyDescent="0.25">
      <c r="B82" t="s">
        <v>182</v>
      </c>
    </row>
    <row r="83" spans="2:2" x14ac:dyDescent="0.25">
      <c r="B83" t="s">
        <v>183</v>
      </c>
    </row>
    <row r="84" spans="2:2" x14ac:dyDescent="0.25">
      <c r="B84" t="s">
        <v>184</v>
      </c>
    </row>
    <row r="86" spans="2:2" x14ac:dyDescent="0.25">
      <c r="B86" t="s">
        <v>181</v>
      </c>
    </row>
    <row r="87" spans="2:2" x14ac:dyDescent="0.25">
      <c r="B87" t="s">
        <v>182</v>
      </c>
    </row>
    <row r="88" spans="2:2" x14ac:dyDescent="0.25">
      <c r="B88" t="s">
        <v>183</v>
      </c>
    </row>
    <row r="89" spans="2:2" x14ac:dyDescent="0.25">
      <c r="B89" t="s">
        <v>184</v>
      </c>
    </row>
    <row r="91" spans="2:2" x14ac:dyDescent="0.25">
      <c r="B91" t="s">
        <v>389</v>
      </c>
    </row>
    <row r="92" spans="2:2" x14ac:dyDescent="0.25">
      <c r="B92" t="s">
        <v>390</v>
      </c>
    </row>
    <row r="93" spans="2:2" x14ac:dyDescent="0.25">
      <c r="B93" t="s">
        <v>391</v>
      </c>
    </row>
    <row r="94" spans="2:2" x14ac:dyDescent="0.25">
      <c r="B94" t="s">
        <v>392</v>
      </c>
    </row>
    <row r="95" spans="2:2" x14ac:dyDescent="0.25">
      <c r="B95" t="s">
        <v>393</v>
      </c>
    </row>
    <row r="97" spans="2:2" x14ac:dyDescent="0.25">
      <c r="B97" t="s">
        <v>394</v>
      </c>
    </row>
    <row r="98" spans="2:2" x14ac:dyDescent="0.25">
      <c r="B98" s="112" t="s">
        <v>395</v>
      </c>
    </row>
    <row r="99" spans="2:2" x14ac:dyDescent="0.25">
      <c r="B99" t="s">
        <v>396</v>
      </c>
    </row>
    <row r="100" spans="2:2" x14ac:dyDescent="0.25">
      <c r="B100" t="s">
        <v>362</v>
      </c>
    </row>
    <row r="101" spans="2:2" x14ac:dyDescent="0.25">
      <c r="B101" t="s">
        <v>387</v>
      </c>
    </row>
    <row r="103" spans="2:2" x14ac:dyDescent="0.25">
      <c r="B103" t="s">
        <v>397</v>
      </c>
    </row>
    <row r="104" spans="2:2" x14ac:dyDescent="0.25">
      <c r="B104" t="s">
        <v>398</v>
      </c>
    </row>
    <row r="105" spans="2:2" x14ac:dyDescent="0.25">
      <c r="B105" t="s">
        <v>399</v>
      </c>
    </row>
    <row r="106" spans="2:2" x14ac:dyDescent="0.25">
      <c r="B106" t="s">
        <v>399</v>
      </c>
    </row>
    <row r="107" spans="2:2" x14ac:dyDescent="0.25">
      <c r="B107" t="s">
        <v>400</v>
      </c>
    </row>
    <row r="108" spans="2:2" x14ac:dyDescent="0.25">
      <c r="B108" t="s">
        <v>401</v>
      </c>
    </row>
    <row r="109" spans="2:2" x14ac:dyDescent="0.25">
      <c r="B109" t="s">
        <v>181</v>
      </c>
    </row>
    <row r="111" spans="2:2" x14ac:dyDescent="0.25">
      <c r="B111" t="s">
        <v>402</v>
      </c>
    </row>
    <row r="112" spans="2:2" x14ac:dyDescent="0.25">
      <c r="B112" t="s">
        <v>403</v>
      </c>
    </row>
    <row r="113" spans="2:2" x14ac:dyDescent="0.25">
      <c r="B113" t="s">
        <v>404</v>
      </c>
    </row>
    <row r="114" spans="2:2" x14ac:dyDescent="0.25">
      <c r="B114" t="s">
        <v>405</v>
      </c>
    </row>
    <row r="116" spans="2:2" x14ac:dyDescent="0.25">
      <c r="B116" t="s">
        <v>38</v>
      </c>
    </row>
    <row r="118" spans="2:2" x14ac:dyDescent="0.25">
      <c r="B118" t="s">
        <v>42</v>
      </c>
    </row>
    <row r="119" spans="2:2" x14ac:dyDescent="0.25">
      <c r="B119" t="s">
        <v>45</v>
      </c>
    </row>
    <row r="120" spans="2:2" x14ac:dyDescent="0.25">
      <c r="B120" t="s">
        <v>48</v>
      </c>
    </row>
    <row r="122" spans="2:2" x14ac:dyDescent="0.25">
      <c r="B122" t="s">
        <v>42</v>
      </c>
    </row>
    <row r="123" spans="2:2" x14ac:dyDescent="0.25">
      <c r="B123" t="s">
        <v>45</v>
      </c>
    </row>
    <row r="124" spans="2:2" x14ac:dyDescent="0.25">
      <c r="B124" t="s">
        <v>48</v>
      </c>
    </row>
    <row r="126" spans="2:2" x14ac:dyDescent="0.25">
      <c r="B126" t="s">
        <v>42</v>
      </c>
    </row>
    <row r="127" spans="2:2" x14ac:dyDescent="0.25">
      <c r="B127" t="s">
        <v>45</v>
      </c>
    </row>
    <row r="128" spans="2:2" x14ac:dyDescent="0.25">
      <c r="B128" t="s">
        <v>48</v>
      </c>
    </row>
    <row r="130" spans="2:2" x14ac:dyDescent="0.25">
      <c r="B130" t="s">
        <v>74</v>
      </c>
    </row>
    <row r="131" spans="2:2" x14ac:dyDescent="0.25">
      <c r="B131" t="s">
        <v>77</v>
      </c>
    </row>
    <row r="132" spans="2:2" x14ac:dyDescent="0.25">
      <c r="B132" t="s">
        <v>80</v>
      </c>
    </row>
    <row r="133" spans="2:2" x14ac:dyDescent="0.25">
      <c r="B133" t="s">
        <v>84</v>
      </c>
    </row>
    <row r="134" spans="2:2" x14ac:dyDescent="0.25">
      <c r="B134" t="s">
        <v>88</v>
      </c>
    </row>
    <row r="136" spans="2:2" x14ac:dyDescent="0.25">
      <c r="B136" s="112" t="s">
        <v>406</v>
      </c>
    </row>
    <row r="137" spans="2:2" x14ac:dyDescent="0.25">
      <c r="B137" s="112" t="s">
        <v>407</v>
      </c>
    </row>
    <row r="138" spans="2:2" x14ac:dyDescent="0.25">
      <c r="B138" s="112" t="s">
        <v>408</v>
      </c>
    </row>
    <row r="139" spans="2:2" x14ac:dyDescent="0.25">
      <c r="B139" s="112" t="s">
        <v>409</v>
      </c>
    </row>
    <row r="140" spans="2:2" x14ac:dyDescent="0.25">
      <c r="B140" s="112"/>
    </row>
    <row r="141" spans="2:2" x14ac:dyDescent="0.25">
      <c r="B141" s="112" t="s">
        <v>108</v>
      </c>
    </row>
    <row r="142" spans="2:2" x14ac:dyDescent="0.25">
      <c r="B142" s="112" t="s">
        <v>410</v>
      </c>
    </row>
    <row r="143" spans="2:2" x14ac:dyDescent="0.25">
      <c r="B143" s="112" t="s">
        <v>112</v>
      </c>
    </row>
    <row r="144" spans="2:2" x14ac:dyDescent="0.25">
      <c r="B144" s="112" t="s">
        <v>411</v>
      </c>
    </row>
    <row r="145" spans="2:2" x14ac:dyDescent="0.25">
      <c r="B145" s="112"/>
    </row>
    <row r="146" spans="2:2" x14ac:dyDescent="0.25">
      <c r="B146" s="112" t="s">
        <v>412</v>
      </c>
    </row>
    <row r="147" spans="2:2" x14ac:dyDescent="0.25">
      <c r="B147" s="112" t="s">
        <v>413</v>
      </c>
    </row>
    <row r="148" spans="2:2" x14ac:dyDescent="0.25">
      <c r="B148" s="112" t="s">
        <v>112</v>
      </c>
    </row>
    <row r="149" spans="2:2" x14ac:dyDescent="0.25">
      <c r="B149" s="112"/>
    </row>
    <row r="150" spans="2:2" x14ac:dyDescent="0.25">
      <c r="B150" s="112" t="s">
        <v>129</v>
      </c>
    </row>
    <row r="151" spans="2:2" x14ac:dyDescent="0.25">
      <c r="B151" s="112" t="s">
        <v>414</v>
      </c>
    </row>
    <row r="152" spans="2:2" x14ac:dyDescent="0.25">
      <c r="B152" s="112" t="s">
        <v>133</v>
      </c>
    </row>
    <row r="153" spans="2:2" x14ac:dyDescent="0.25">
      <c r="B153" s="112"/>
    </row>
    <row r="154" spans="2:2" x14ac:dyDescent="0.25">
      <c r="B154" s="112" t="s">
        <v>415</v>
      </c>
    </row>
    <row r="155" spans="2:2" x14ac:dyDescent="0.25">
      <c r="B155" s="112" t="s">
        <v>416</v>
      </c>
    </row>
    <row r="156" spans="2:2" x14ac:dyDescent="0.25">
      <c r="B156" s="112" t="s">
        <v>417</v>
      </c>
    </row>
    <row r="157" spans="2:2" x14ac:dyDescent="0.25">
      <c r="B157" s="112" t="s">
        <v>418</v>
      </c>
    </row>
    <row r="158" spans="2:2" x14ac:dyDescent="0.25">
      <c r="B158" s="112" t="s">
        <v>145</v>
      </c>
    </row>
    <row r="159" spans="2:2" x14ac:dyDescent="0.25">
      <c r="B159" s="112"/>
    </row>
    <row r="160" spans="2:2" ht="17.25" x14ac:dyDescent="0.25">
      <c r="B160" s="112" t="s">
        <v>427</v>
      </c>
    </row>
    <row r="161" spans="2:2" ht="17.25" x14ac:dyDescent="0.25">
      <c r="B161" s="112" t="s">
        <v>428</v>
      </c>
    </row>
    <row r="162" spans="2:2" ht="17.25" x14ac:dyDescent="0.25">
      <c r="B162" s="112" t="s">
        <v>426</v>
      </c>
    </row>
    <row r="163" spans="2:2" x14ac:dyDescent="0.25">
      <c r="B163" s="112"/>
    </row>
    <row r="164" spans="2:2" x14ac:dyDescent="0.25">
      <c r="B164" s="112" t="s">
        <v>419</v>
      </c>
    </row>
    <row r="165" spans="2:2" x14ac:dyDescent="0.25">
      <c r="B165" s="112" t="s">
        <v>420</v>
      </c>
    </row>
    <row r="166" spans="2:2" x14ac:dyDescent="0.25">
      <c r="B166" s="112" t="s">
        <v>421</v>
      </c>
    </row>
    <row r="167" spans="2:2" x14ac:dyDescent="0.25">
      <c r="B167" s="112" t="s">
        <v>165</v>
      </c>
    </row>
    <row r="168" spans="2:2" x14ac:dyDescent="0.25">
      <c r="B168" s="112"/>
    </row>
    <row r="169" spans="2:2" x14ac:dyDescent="0.25">
      <c r="B169" s="112"/>
    </row>
    <row r="170" spans="2:2" x14ac:dyDescent="0.25">
      <c r="B170" s="112"/>
    </row>
    <row r="171" spans="2:2" x14ac:dyDescent="0.25">
      <c r="B171" s="112"/>
    </row>
    <row r="172" spans="2:2" x14ac:dyDescent="0.25">
      <c r="B172" s="112"/>
    </row>
    <row r="173" spans="2:2" x14ac:dyDescent="0.25">
      <c r="B173" s="112"/>
    </row>
    <row r="174" spans="2:2" x14ac:dyDescent="0.25">
      <c r="B174" s="112"/>
    </row>
    <row r="175" spans="2:2" x14ac:dyDescent="0.25">
      <c r="B175" s="112"/>
    </row>
    <row r="176" spans="2:2" x14ac:dyDescent="0.25">
      <c r="B176" s="112"/>
    </row>
    <row r="177" spans="2:2" x14ac:dyDescent="0.25">
      <c r="B177" s="112"/>
    </row>
    <row r="178" spans="2:2" x14ac:dyDescent="0.25">
      <c r="B178" s="112"/>
    </row>
    <row r="179" spans="2:2" x14ac:dyDescent="0.25">
      <c r="B179" s="112"/>
    </row>
    <row r="180" spans="2:2" x14ac:dyDescent="0.25">
      <c r="B180" s="112"/>
    </row>
    <row r="181" spans="2:2" x14ac:dyDescent="0.25">
      <c r="B181" s="112"/>
    </row>
    <row r="182" spans="2:2" x14ac:dyDescent="0.25">
      <c r="B182" s="112"/>
    </row>
    <row r="183" spans="2:2" x14ac:dyDescent="0.25">
      <c r="B183" s="112"/>
    </row>
    <row r="184" spans="2:2" x14ac:dyDescent="0.25">
      <c r="B184" s="112"/>
    </row>
    <row r="185" spans="2:2" x14ac:dyDescent="0.25">
      <c r="B185" s="112"/>
    </row>
    <row r="186" spans="2:2" x14ac:dyDescent="0.25">
      <c r="B186" s="112"/>
    </row>
    <row r="187" spans="2:2" x14ac:dyDescent="0.25">
      <c r="B187" s="112"/>
    </row>
    <row r="188" spans="2:2" x14ac:dyDescent="0.25">
      <c r="B188" s="112"/>
    </row>
    <row r="189" spans="2:2" x14ac:dyDescent="0.25">
      <c r="B189" s="112"/>
    </row>
    <row r="190" spans="2:2" x14ac:dyDescent="0.25">
      <c r="B190" s="112"/>
    </row>
    <row r="191" spans="2:2" x14ac:dyDescent="0.25">
      <c r="B191" s="112"/>
    </row>
    <row r="192" spans="2:2" x14ac:dyDescent="0.25">
      <c r="B192" s="112"/>
    </row>
    <row r="193" spans="2:2" x14ac:dyDescent="0.25">
      <c r="B193" s="112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192AF-9AF1-4CC9-8B86-CAD4505F3663}">
  <sheetPr codeName="Lembar5"/>
  <dimension ref="B2:T32"/>
  <sheetViews>
    <sheetView showGridLines="0" topLeftCell="I1" workbookViewId="0">
      <selection activeCell="O5" sqref="O5"/>
    </sheetView>
  </sheetViews>
  <sheetFormatPr defaultRowHeight="15" x14ac:dyDescent="0.25"/>
  <cols>
    <col min="2" max="2" width="12" customWidth="1"/>
    <col min="7" max="7" width="12.7109375" customWidth="1"/>
    <col min="8" max="8" width="20.28515625" customWidth="1"/>
    <col min="9" max="9" width="12.5703125" bestFit="1" customWidth="1"/>
    <col min="11" max="11" width="15" bestFit="1" customWidth="1"/>
    <col min="12" max="12" width="24.7109375" customWidth="1"/>
    <col min="13" max="13" width="13.5703125" bestFit="1" customWidth="1"/>
    <col min="14" max="14" width="27.28515625" customWidth="1"/>
    <col min="15" max="15" width="33" customWidth="1"/>
    <col min="17" max="17" width="21.7109375" customWidth="1"/>
    <col min="18" max="18" width="15.42578125" bestFit="1" customWidth="1"/>
    <col min="20" max="20" width="19.5703125" bestFit="1" customWidth="1"/>
  </cols>
  <sheetData>
    <row r="2" spans="2:20" x14ac:dyDescent="0.25">
      <c r="B2" s="4" t="s">
        <v>1</v>
      </c>
      <c r="C2" s="5" t="s">
        <v>204</v>
      </c>
      <c r="D2" s="5" t="s">
        <v>205</v>
      </c>
      <c r="E2" s="6" t="s">
        <v>2</v>
      </c>
      <c r="F2" s="7">
        <v>1</v>
      </c>
      <c r="G2" s="8" t="s">
        <v>206</v>
      </c>
      <c r="H2" s="9" t="s">
        <v>207</v>
      </c>
      <c r="I2" s="23" t="s">
        <v>9</v>
      </c>
      <c r="J2" s="10" t="s">
        <v>208</v>
      </c>
      <c r="K2" s="24" t="s">
        <v>11</v>
      </c>
      <c r="L2" s="25" t="s">
        <v>209</v>
      </c>
      <c r="M2" s="33" t="s">
        <v>210</v>
      </c>
      <c r="N2" s="34" t="s">
        <v>211</v>
      </c>
      <c r="O2" s="35" t="s">
        <v>20</v>
      </c>
      <c r="P2" s="36" t="s">
        <v>212</v>
      </c>
      <c r="Q2" s="49" t="s">
        <v>23</v>
      </c>
      <c r="R2" s="50" t="s">
        <v>213</v>
      </c>
      <c r="S2" t="s">
        <v>27</v>
      </c>
      <c r="T2" t="s">
        <v>214</v>
      </c>
    </row>
    <row r="3" spans="2:20" x14ac:dyDescent="0.25">
      <c r="B3" s="11"/>
      <c r="C3" s="12" t="s">
        <v>215</v>
      </c>
      <c r="D3" s="12" t="s">
        <v>216</v>
      </c>
      <c r="E3" s="13"/>
      <c r="F3" s="14">
        <v>2</v>
      </c>
      <c r="G3" s="15"/>
      <c r="H3" s="15" t="s">
        <v>217</v>
      </c>
      <c r="I3" s="16"/>
      <c r="J3" s="16" t="s">
        <v>218</v>
      </c>
      <c r="K3" s="26"/>
      <c r="L3" s="27" t="s">
        <v>219</v>
      </c>
      <c r="M3" s="37" t="s">
        <v>220</v>
      </c>
      <c r="N3" s="38" t="s">
        <v>45</v>
      </c>
      <c r="O3" s="39" t="s">
        <v>21</v>
      </c>
      <c r="P3" s="40" t="s">
        <v>96</v>
      </c>
      <c r="Q3" s="49"/>
      <c r="R3" s="50" t="s">
        <v>221</v>
      </c>
      <c r="T3" t="s">
        <v>222</v>
      </c>
    </row>
    <row r="4" spans="2:20" x14ac:dyDescent="0.25">
      <c r="B4" s="11"/>
      <c r="C4" s="12" t="s">
        <v>223</v>
      </c>
      <c r="D4" s="12" t="s">
        <v>224</v>
      </c>
      <c r="E4" s="13"/>
      <c r="F4" s="14">
        <v>3</v>
      </c>
      <c r="G4" s="15"/>
      <c r="H4" s="15" t="s">
        <v>225</v>
      </c>
      <c r="I4" s="16"/>
      <c r="J4" s="16" t="s">
        <v>226</v>
      </c>
      <c r="K4" s="26"/>
      <c r="L4" s="27" t="s">
        <v>227</v>
      </c>
      <c r="M4" s="41"/>
      <c r="N4" s="38" t="s">
        <v>228</v>
      </c>
      <c r="O4" s="39" t="s">
        <v>22</v>
      </c>
      <c r="P4" s="42"/>
      <c r="Q4" s="49"/>
      <c r="R4" s="50" t="s">
        <v>229</v>
      </c>
      <c r="T4" t="s">
        <v>230</v>
      </c>
    </row>
    <row r="5" spans="2:20" x14ac:dyDescent="0.25">
      <c r="B5" s="11"/>
      <c r="C5" s="12" t="s">
        <v>231</v>
      </c>
      <c r="D5" s="12" t="s">
        <v>232</v>
      </c>
      <c r="E5" s="13"/>
      <c r="F5" s="14">
        <v>4</v>
      </c>
      <c r="G5" s="15"/>
      <c r="H5" s="17" t="s">
        <v>233</v>
      </c>
      <c r="I5" s="16"/>
      <c r="J5" s="16" t="s">
        <v>234</v>
      </c>
      <c r="K5" s="26"/>
      <c r="L5" s="27" t="s">
        <v>235</v>
      </c>
      <c r="M5" s="41"/>
      <c r="N5" s="38"/>
      <c r="O5" s="38"/>
      <c r="P5" s="42"/>
      <c r="Q5" s="49"/>
      <c r="R5" s="50" t="s">
        <v>236</v>
      </c>
      <c r="T5" t="s">
        <v>237</v>
      </c>
    </row>
    <row r="6" spans="2:20" x14ac:dyDescent="0.25">
      <c r="B6" s="11"/>
      <c r="C6" s="12" t="s">
        <v>238</v>
      </c>
      <c r="D6" s="12" t="s">
        <v>239</v>
      </c>
      <c r="E6" s="13"/>
      <c r="F6" s="14">
        <v>5</v>
      </c>
      <c r="G6" s="15"/>
      <c r="H6" s="17" t="s">
        <v>240</v>
      </c>
      <c r="I6" s="31"/>
      <c r="J6" s="31"/>
      <c r="K6" s="26"/>
      <c r="L6" s="27" t="s">
        <v>241</v>
      </c>
      <c r="M6" s="37" t="s">
        <v>14</v>
      </c>
      <c r="N6" s="38" t="s">
        <v>242</v>
      </c>
      <c r="O6" s="31"/>
      <c r="P6" s="43"/>
      <c r="Q6" s="49"/>
      <c r="R6" s="50" t="s">
        <v>243</v>
      </c>
      <c r="T6" t="s">
        <v>244</v>
      </c>
    </row>
    <row r="7" spans="2:20" x14ac:dyDescent="0.25">
      <c r="B7" s="11"/>
      <c r="C7" s="12" t="s">
        <v>245</v>
      </c>
      <c r="D7" s="12" t="s">
        <v>246</v>
      </c>
      <c r="E7" s="13"/>
      <c r="F7" s="14">
        <v>6</v>
      </c>
      <c r="G7" s="15"/>
      <c r="H7" s="18" t="s">
        <v>247</v>
      </c>
      <c r="I7" s="31"/>
      <c r="J7" s="31"/>
      <c r="K7" s="26"/>
      <c r="L7" s="27" t="s">
        <v>248</v>
      </c>
      <c r="M7" s="37"/>
      <c r="N7" s="38" t="s">
        <v>249</v>
      </c>
      <c r="O7" s="44"/>
      <c r="P7" s="43"/>
      <c r="Q7" s="49"/>
      <c r="R7" s="50" t="s">
        <v>250</v>
      </c>
      <c r="T7" t="s">
        <v>251</v>
      </c>
    </row>
    <row r="8" spans="2:20" x14ac:dyDescent="0.25">
      <c r="B8" s="11"/>
      <c r="C8" s="12" t="s">
        <v>252</v>
      </c>
      <c r="D8" s="12" t="s">
        <v>253</v>
      </c>
      <c r="E8" s="13"/>
      <c r="F8" s="14">
        <v>7</v>
      </c>
      <c r="G8" s="15"/>
      <c r="H8" s="18" t="s">
        <v>254</v>
      </c>
      <c r="I8" s="31"/>
      <c r="J8" s="31"/>
      <c r="K8" s="26"/>
      <c r="L8" s="27"/>
      <c r="M8" s="37"/>
      <c r="N8" s="38" t="s">
        <v>127</v>
      </c>
      <c r="O8" s="31"/>
      <c r="P8" s="43"/>
      <c r="Q8" s="49"/>
      <c r="R8" s="50"/>
      <c r="T8" t="s">
        <v>248</v>
      </c>
    </row>
    <row r="9" spans="2:20" x14ac:dyDescent="0.25">
      <c r="B9" s="11"/>
      <c r="C9" s="12" t="s">
        <v>255</v>
      </c>
      <c r="D9" s="12" t="s">
        <v>256</v>
      </c>
      <c r="E9" s="13"/>
      <c r="F9" s="14">
        <v>8</v>
      </c>
      <c r="G9" s="15"/>
      <c r="H9" s="17" t="s">
        <v>257</v>
      </c>
      <c r="I9" s="31"/>
      <c r="J9" s="31"/>
      <c r="K9" s="26" t="s">
        <v>258</v>
      </c>
      <c r="L9" s="27" t="s">
        <v>259</v>
      </c>
      <c r="M9" s="37"/>
      <c r="N9" s="38"/>
      <c r="O9" s="31"/>
      <c r="P9" s="43"/>
      <c r="Q9" s="49" t="s">
        <v>24</v>
      </c>
      <c r="R9" s="50" t="s">
        <v>260</v>
      </c>
    </row>
    <row r="10" spans="2:20" x14ac:dyDescent="0.25">
      <c r="B10" s="11"/>
      <c r="C10" s="12" t="s">
        <v>261</v>
      </c>
      <c r="D10" s="12" t="s">
        <v>262</v>
      </c>
      <c r="E10" s="13"/>
      <c r="F10" s="14">
        <v>9</v>
      </c>
      <c r="G10" s="15"/>
      <c r="H10" s="17" t="s">
        <v>263</v>
      </c>
      <c r="I10" s="31"/>
      <c r="J10" s="31"/>
      <c r="K10" s="26" t="s">
        <v>264</v>
      </c>
      <c r="L10" s="27" t="s">
        <v>265</v>
      </c>
      <c r="M10" s="37" t="s">
        <v>266</v>
      </c>
      <c r="N10" s="38" t="s">
        <v>267</v>
      </c>
      <c r="O10" s="31"/>
      <c r="P10" s="43"/>
      <c r="Q10" s="50"/>
      <c r="R10" s="50" t="s">
        <v>268</v>
      </c>
      <c r="S10" t="s">
        <v>269</v>
      </c>
      <c r="T10" t="s">
        <v>270</v>
      </c>
    </row>
    <row r="11" spans="2:20" x14ac:dyDescent="0.25">
      <c r="B11" s="11"/>
      <c r="C11" s="12" t="s">
        <v>271</v>
      </c>
      <c r="D11" s="12" t="s">
        <v>272</v>
      </c>
      <c r="E11" s="13"/>
      <c r="F11" s="14">
        <v>10</v>
      </c>
      <c r="G11" s="15"/>
      <c r="H11" s="18" t="s">
        <v>273</v>
      </c>
      <c r="I11" s="31"/>
      <c r="J11" s="31"/>
      <c r="K11" s="28"/>
      <c r="L11" s="27" t="s">
        <v>274</v>
      </c>
      <c r="M11" s="41"/>
      <c r="N11" s="38" t="s">
        <v>275</v>
      </c>
      <c r="O11" s="31"/>
      <c r="P11" s="43"/>
      <c r="Q11" s="50"/>
      <c r="R11" s="50" t="s">
        <v>276</v>
      </c>
      <c r="T11" t="s">
        <v>277</v>
      </c>
    </row>
    <row r="12" spans="2:20" x14ac:dyDescent="0.25">
      <c r="B12" s="11"/>
      <c r="C12" s="12" t="s">
        <v>278</v>
      </c>
      <c r="D12" s="12" t="s">
        <v>279</v>
      </c>
      <c r="E12" s="13"/>
      <c r="F12" s="14">
        <v>11</v>
      </c>
      <c r="G12" s="15"/>
      <c r="H12" s="17" t="s">
        <v>280</v>
      </c>
      <c r="I12" s="31"/>
      <c r="J12" s="31"/>
      <c r="K12" s="28"/>
      <c r="L12" s="27"/>
      <c r="M12" s="41"/>
      <c r="N12" s="38" t="s">
        <v>43</v>
      </c>
      <c r="O12" s="31"/>
      <c r="P12" s="43"/>
      <c r="Q12" s="50"/>
      <c r="R12" s="50" t="s">
        <v>281</v>
      </c>
      <c r="T12" t="s">
        <v>282</v>
      </c>
    </row>
    <row r="13" spans="2:20" x14ac:dyDescent="0.25">
      <c r="B13" s="11"/>
      <c r="C13" s="12" t="s">
        <v>283</v>
      </c>
      <c r="D13" s="12" t="s">
        <v>284</v>
      </c>
      <c r="E13" s="13"/>
      <c r="F13" s="14">
        <v>12</v>
      </c>
      <c r="G13" s="15"/>
      <c r="H13" s="18" t="s">
        <v>285</v>
      </c>
      <c r="I13" s="31"/>
      <c r="J13" s="31"/>
      <c r="K13" s="26" t="s">
        <v>286</v>
      </c>
      <c r="L13" s="27" t="s">
        <v>212</v>
      </c>
      <c r="M13" s="41"/>
      <c r="N13" s="38"/>
      <c r="O13" s="31"/>
      <c r="P13" s="43"/>
      <c r="Q13" s="50"/>
      <c r="R13" s="50" t="s">
        <v>287</v>
      </c>
      <c r="T13" t="s">
        <v>288</v>
      </c>
    </row>
    <row r="14" spans="2:20" x14ac:dyDescent="0.25">
      <c r="B14" s="11"/>
      <c r="C14" s="12" t="s">
        <v>289</v>
      </c>
      <c r="D14" s="12" t="s">
        <v>290</v>
      </c>
      <c r="E14" s="13"/>
      <c r="F14" s="14">
        <v>13</v>
      </c>
      <c r="G14" s="31"/>
      <c r="H14" s="31"/>
      <c r="I14" s="31"/>
      <c r="J14" s="31"/>
      <c r="K14" s="26" t="s">
        <v>43</v>
      </c>
      <c r="L14" s="27" t="s">
        <v>96</v>
      </c>
      <c r="M14" s="37" t="s">
        <v>16</v>
      </c>
      <c r="N14" s="38" t="s">
        <v>291</v>
      </c>
      <c r="O14" s="31"/>
      <c r="P14" s="43"/>
      <c r="Q14" s="50"/>
      <c r="R14" s="50" t="s">
        <v>292</v>
      </c>
      <c r="T14" t="s">
        <v>293</v>
      </c>
    </row>
    <row r="15" spans="2:20" x14ac:dyDescent="0.25">
      <c r="B15" s="11"/>
      <c r="C15" s="12" t="s">
        <v>294</v>
      </c>
      <c r="D15" s="12" t="s">
        <v>295</v>
      </c>
      <c r="E15" s="13"/>
      <c r="F15" s="14">
        <v>14</v>
      </c>
      <c r="G15" s="31"/>
      <c r="H15" s="31"/>
      <c r="I15" s="31"/>
      <c r="J15" s="31"/>
      <c r="K15" s="26" t="s">
        <v>296</v>
      </c>
      <c r="L15" s="27"/>
      <c r="M15" s="37"/>
      <c r="N15" s="38" t="s">
        <v>297</v>
      </c>
      <c r="O15" s="31"/>
      <c r="P15" s="43"/>
      <c r="Q15" s="50"/>
      <c r="R15" s="50" t="s">
        <v>298</v>
      </c>
      <c r="T15" t="s">
        <v>299</v>
      </c>
    </row>
    <row r="16" spans="2:20" x14ac:dyDescent="0.25">
      <c r="B16" s="11"/>
      <c r="C16" s="12" t="s">
        <v>300</v>
      </c>
      <c r="D16" s="12" t="s">
        <v>301</v>
      </c>
      <c r="E16" s="13"/>
      <c r="F16" s="14">
        <v>15</v>
      </c>
      <c r="G16" s="31"/>
      <c r="H16" s="31"/>
      <c r="I16" s="31"/>
      <c r="J16" s="31"/>
      <c r="K16" s="28"/>
      <c r="L16" s="27"/>
      <c r="M16" s="37"/>
      <c r="N16" s="38" t="s">
        <v>302</v>
      </c>
      <c r="O16" s="31"/>
      <c r="P16" s="43"/>
      <c r="Q16" s="50"/>
      <c r="R16" s="50" t="s">
        <v>303</v>
      </c>
      <c r="T16" t="s">
        <v>304</v>
      </c>
    </row>
    <row r="17" spans="2:20" x14ac:dyDescent="0.25">
      <c r="B17" s="11"/>
      <c r="C17" s="12" t="s">
        <v>305</v>
      </c>
      <c r="D17" s="12" t="s">
        <v>306</v>
      </c>
      <c r="E17" s="13"/>
      <c r="F17" s="14">
        <v>16</v>
      </c>
      <c r="G17" s="31"/>
      <c r="H17" s="31"/>
      <c r="I17" s="31"/>
      <c r="J17" s="31"/>
      <c r="K17" s="26" t="s">
        <v>12</v>
      </c>
      <c r="L17" s="27" t="s">
        <v>307</v>
      </c>
      <c r="M17" s="37"/>
      <c r="N17" s="38"/>
      <c r="O17" s="31"/>
      <c r="P17" s="43"/>
      <c r="Q17" s="50"/>
      <c r="R17" s="50" t="s">
        <v>308</v>
      </c>
      <c r="T17" t="s">
        <v>309</v>
      </c>
    </row>
    <row r="18" spans="2:20" x14ac:dyDescent="0.25">
      <c r="B18" s="11"/>
      <c r="C18" s="12" t="s">
        <v>310</v>
      </c>
      <c r="D18" s="12" t="s">
        <v>311</v>
      </c>
      <c r="E18" s="13"/>
      <c r="F18" s="14">
        <v>17</v>
      </c>
      <c r="G18" s="31"/>
      <c r="H18" s="31"/>
      <c r="I18" s="31"/>
      <c r="J18" s="31"/>
      <c r="K18" s="28"/>
      <c r="L18" s="27" t="s">
        <v>312</v>
      </c>
      <c r="M18" s="37" t="s">
        <v>17</v>
      </c>
      <c r="N18" s="38" t="s">
        <v>313</v>
      </c>
      <c r="O18" s="31"/>
      <c r="P18" s="43"/>
      <c r="Q18" s="50"/>
      <c r="R18" s="50" t="s">
        <v>287</v>
      </c>
      <c r="T18" t="s">
        <v>314</v>
      </c>
    </row>
    <row r="19" spans="2:20" x14ac:dyDescent="0.25">
      <c r="B19" s="11"/>
      <c r="C19" s="12" t="s">
        <v>315</v>
      </c>
      <c r="D19" s="12" t="s">
        <v>316</v>
      </c>
      <c r="E19" s="13"/>
      <c r="F19" s="14">
        <v>18</v>
      </c>
      <c r="G19" s="31"/>
      <c r="H19" s="31"/>
      <c r="I19" s="31"/>
      <c r="J19" s="31"/>
      <c r="K19" s="28"/>
      <c r="L19" s="27" t="s">
        <v>317</v>
      </c>
      <c r="M19" s="37"/>
      <c r="N19" s="38" t="s">
        <v>318</v>
      </c>
      <c r="O19" s="31"/>
      <c r="P19" s="43"/>
      <c r="Q19" s="50"/>
      <c r="R19" s="50"/>
      <c r="T19" t="s">
        <v>319</v>
      </c>
    </row>
    <row r="20" spans="2:20" x14ac:dyDescent="0.25">
      <c r="B20" s="11"/>
      <c r="C20" s="12" t="s">
        <v>320</v>
      </c>
      <c r="D20" s="12" t="s">
        <v>321</v>
      </c>
      <c r="E20" s="13"/>
      <c r="F20" s="14">
        <v>19</v>
      </c>
      <c r="G20" s="31"/>
      <c r="H20" s="31"/>
      <c r="I20" s="31"/>
      <c r="J20" s="31"/>
      <c r="K20" s="28"/>
      <c r="L20" s="27" t="s">
        <v>322</v>
      </c>
      <c r="M20" s="37"/>
      <c r="N20" s="38" t="s">
        <v>323</v>
      </c>
      <c r="O20" s="31"/>
      <c r="P20" s="43"/>
      <c r="Q20" s="52" t="s">
        <v>25</v>
      </c>
      <c r="R20" s="51" t="s">
        <v>324</v>
      </c>
      <c r="T20" t="s">
        <v>325</v>
      </c>
    </row>
    <row r="21" spans="2:20" x14ac:dyDescent="0.25">
      <c r="B21" s="11"/>
      <c r="C21" s="12" t="s">
        <v>326</v>
      </c>
      <c r="D21" s="12" t="s">
        <v>327</v>
      </c>
      <c r="E21" s="13"/>
      <c r="F21" s="14">
        <v>20</v>
      </c>
      <c r="G21" s="31"/>
      <c r="H21" s="31"/>
      <c r="I21" s="31"/>
      <c r="J21" s="31"/>
      <c r="K21" s="28"/>
      <c r="L21" s="27" t="s">
        <v>55</v>
      </c>
      <c r="M21" s="37"/>
      <c r="N21" s="38"/>
      <c r="O21" s="31"/>
      <c r="P21" s="43"/>
      <c r="Q21" s="51"/>
      <c r="R21" s="51" t="s">
        <v>328</v>
      </c>
      <c r="T21" t="s">
        <v>329</v>
      </c>
    </row>
    <row r="22" spans="2:20" x14ac:dyDescent="0.25">
      <c r="B22" s="11"/>
      <c r="C22" s="12" t="s">
        <v>330</v>
      </c>
      <c r="D22" s="12" t="s">
        <v>331</v>
      </c>
      <c r="E22" s="13"/>
      <c r="F22" s="14">
        <v>21</v>
      </c>
      <c r="G22" s="31"/>
      <c r="H22" s="31"/>
      <c r="I22" s="31"/>
      <c r="J22" s="31"/>
      <c r="K22" s="28"/>
      <c r="L22" s="27" t="s">
        <v>250</v>
      </c>
      <c r="M22" s="37" t="s">
        <v>18</v>
      </c>
      <c r="N22" s="38" t="s">
        <v>332</v>
      </c>
      <c r="O22" s="31"/>
      <c r="P22" s="43"/>
      <c r="Q22" s="51"/>
      <c r="R22" s="51" t="s">
        <v>181</v>
      </c>
    </row>
    <row r="23" spans="2:20" x14ac:dyDescent="0.25">
      <c r="B23" s="11"/>
      <c r="C23" s="12" t="s">
        <v>333</v>
      </c>
      <c r="D23" s="12" t="s">
        <v>334</v>
      </c>
      <c r="E23" s="13"/>
      <c r="F23" s="14">
        <v>22</v>
      </c>
      <c r="G23" s="31"/>
      <c r="H23" s="31"/>
      <c r="I23" s="31"/>
      <c r="J23" s="31"/>
      <c r="K23" s="28"/>
      <c r="L23" s="27"/>
      <c r="M23" s="37"/>
      <c r="N23" s="38" t="s">
        <v>335</v>
      </c>
      <c r="O23" s="31"/>
      <c r="P23" s="43"/>
    </row>
    <row r="24" spans="2:20" x14ac:dyDescent="0.25">
      <c r="B24" s="11"/>
      <c r="C24" s="12" t="s">
        <v>336</v>
      </c>
      <c r="D24" s="12" t="s">
        <v>337</v>
      </c>
      <c r="E24" s="13"/>
      <c r="F24" s="14">
        <v>23</v>
      </c>
      <c r="G24" s="31"/>
      <c r="H24" s="31"/>
      <c r="I24" s="31"/>
      <c r="J24" s="31"/>
      <c r="K24" s="26" t="s">
        <v>338</v>
      </c>
      <c r="L24" s="27" t="s">
        <v>339</v>
      </c>
      <c r="M24" s="37"/>
      <c r="N24" s="38" t="s">
        <v>42</v>
      </c>
      <c r="O24" s="31"/>
      <c r="P24" s="43"/>
    </row>
    <row r="25" spans="2:20" x14ac:dyDescent="0.25">
      <c r="B25" s="11"/>
      <c r="C25" s="12" t="s">
        <v>340</v>
      </c>
      <c r="D25" s="12" t="s">
        <v>341</v>
      </c>
      <c r="E25" s="13"/>
      <c r="F25" s="14">
        <v>24</v>
      </c>
      <c r="G25" s="31"/>
      <c r="H25" s="31"/>
      <c r="I25" s="31"/>
      <c r="J25" s="31"/>
      <c r="K25" s="28"/>
      <c r="L25" s="27" t="s">
        <v>342</v>
      </c>
      <c r="M25" s="37"/>
      <c r="N25" s="38"/>
      <c r="O25" s="31"/>
      <c r="P25" s="43"/>
    </row>
    <row r="26" spans="2:20" x14ac:dyDescent="0.25">
      <c r="B26" s="11"/>
      <c r="C26" s="12" t="s">
        <v>343</v>
      </c>
      <c r="D26" s="12" t="s">
        <v>344</v>
      </c>
      <c r="E26" s="13"/>
      <c r="F26" s="14">
        <v>25</v>
      </c>
      <c r="G26" s="31"/>
      <c r="H26" s="31"/>
      <c r="I26" s="31"/>
      <c r="J26" s="31"/>
      <c r="K26" s="28"/>
      <c r="L26" s="27" t="s">
        <v>345</v>
      </c>
      <c r="M26" s="37" t="s">
        <v>19</v>
      </c>
      <c r="N26" s="38" t="s">
        <v>346</v>
      </c>
      <c r="O26" s="31"/>
      <c r="P26" s="43"/>
    </row>
    <row r="27" spans="2:20" x14ac:dyDescent="0.25">
      <c r="B27" s="11"/>
      <c r="C27" s="12" t="s">
        <v>347</v>
      </c>
      <c r="D27" s="12" t="s">
        <v>348</v>
      </c>
      <c r="E27" s="13"/>
      <c r="F27" s="14">
        <v>26</v>
      </c>
      <c r="G27" s="31"/>
      <c r="H27" s="31"/>
      <c r="I27" s="31"/>
      <c r="J27" s="31"/>
      <c r="K27" s="28"/>
      <c r="L27" s="27" t="s">
        <v>349</v>
      </c>
      <c r="M27" s="41"/>
      <c r="N27" s="38" t="s">
        <v>350</v>
      </c>
      <c r="O27" s="31"/>
      <c r="P27" s="43"/>
    </row>
    <row r="28" spans="2:20" x14ac:dyDescent="0.25">
      <c r="B28" s="11"/>
      <c r="C28" s="12" t="s">
        <v>351</v>
      </c>
      <c r="D28" s="12" t="s">
        <v>352</v>
      </c>
      <c r="E28" s="13"/>
      <c r="F28" s="14">
        <v>27</v>
      </c>
      <c r="G28" s="31"/>
      <c r="H28" s="31"/>
      <c r="I28" s="31"/>
      <c r="J28" s="31"/>
      <c r="K28" s="28"/>
      <c r="L28" s="27" t="s">
        <v>353</v>
      </c>
      <c r="M28" s="41"/>
      <c r="N28" s="38" t="s">
        <v>354</v>
      </c>
      <c r="O28" s="31"/>
      <c r="P28" s="43"/>
    </row>
    <row r="29" spans="2:20" x14ac:dyDescent="0.25">
      <c r="B29" s="11"/>
      <c r="C29" s="12" t="s">
        <v>355</v>
      </c>
      <c r="D29" s="12" t="s">
        <v>356</v>
      </c>
      <c r="E29" s="13"/>
      <c r="F29" s="14">
        <v>28</v>
      </c>
      <c r="G29" s="31"/>
      <c r="H29" s="31"/>
      <c r="I29" s="31"/>
      <c r="J29" s="31"/>
      <c r="K29" s="28"/>
      <c r="L29" s="27" t="s">
        <v>357</v>
      </c>
      <c r="M29" s="41"/>
      <c r="N29" s="38"/>
      <c r="O29" s="31"/>
      <c r="P29" s="43"/>
    </row>
    <row r="30" spans="2:20" x14ac:dyDescent="0.25">
      <c r="B30" s="11"/>
      <c r="C30" s="12" t="s">
        <v>358</v>
      </c>
      <c r="D30" s="12" t="s">
        <v>359</v>
      </c>
      <c r="E30" s="13"/>
      <c r="F30" s="14">
        <v>29</v>
      </c>
      <c r="G30" s="31"/>
      <c r="H30" s="31"/>
      <c r="I30" s="31"/>
      <c r="J30" s="31"/>
      <c r="K30" s="28"/>
      <c r="L30" s="27" t="s">
        <v>250</v>
      </c>
      <c r="M30" s="47"/>
      <c r="N30" s="31"/>
      <c r="O30" s="31"/>
      <c r="P30" s="43"/>
    </row>
    <row r="31" spans="2:20" x14ac:dyDescent="0.25">
      <c r="B31" s="11"/>
      <c r="C31" s="12" t="s">
        <v>360</v>
      </c>
      <c r="D31" s="12" t="s">
        <v>361</v>
      </c>
      <c r="E31" s="13"/>
      <c r="F31" s="14">
        <v>30</v>
      </c>
      <c r="G31" s="31"/>
      <c r="H31" s="31"/>
      <c r="I31" s="31"/>
      <c r="J31" s="31"/>
      <c r="K31" s="28"/>
      <c r="L31" s="27"/>
      <c r="M31" s="47"/>
      <c r="N31" s="31"/>
      <c r="O31" s="31"/>
      <c r="P31" s="43"/>
    </row>
    <row r="32" spans="2:20" x14ac:dyDescent="0.25">
      <c r="B32" s="19"/>
      <c r="C32" s="20"/>
      <c r="D32" s="20"/>
      <c r="E32" s="21"/>
      <c r="F32" s="22">
        <v>31</v>
      </c>
      <c r="G32" s="32"/>
      <c r="H32" s="32"/>
      <c r="I32" s="32"/>
      <c r="J32" s="32"/>
      <c r="K32" s="48"/>
      <c r="L32" s="46"/>
      <c r="M32" s="48"/>
      <c r="N32" s="45"/>
      <c r="O32" s="45"/>
      <c r="P32" s="46"/>
    </row>
  </sheetData>
  <phoneticPr fontId="2" type="noConversion"/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" ma:contentTypeID="0x010100F78DC322C004CC4D9FECFAE23CA7EDD3" ma:contentTypeVersion="17" ma:contentTypeDescription="Buat sebuah dokumen baru." ma:contentTypeScope="" ma:versionID="c071041c8ae46d6232c80c8eca616433">
  <xsd:schema xmlns:xsd="http://www.w3.org/2001/XMLSchema" xmlns:xs="http://www.w3.org/2001/XMLSchema" xmlns:p="http://schemas.microsoft.com/office/2006/metadata/properties" xmlns:ns2="ea9fb05f-576a-4ef7-9dd9-04970e5e2769" xmlns:ns3="7dbe865d-62e8-4cc8-86de-422ab6f08057" targetNamespace="http://schemas.microsoft.com/office/2006/metadata/properties" ma:root="true" ma:fieldsID="6a0dc8f1b4126e3694ba6b99e6acb7dc" ns2:_="" ns3:_="">
    <xsd:import namespace="ea9fb05f-576a-4ef7-9dd9-04970e5e2769"/>
    <xsd:import namespace="7dbe865d-62e8-4cc8-86de-422ab6f080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SearchProperties" minOccurs="0"/>
                <xsd:element ref="ns3:SharedWithUsers" minOccurs="0"/>
                <xsd:element ref="ns3:SharedWithDetails" minOccurs="0"/>
                <xsd:element ref="ns2:MediaLengthInSeconds" minOccurs="0"/>
                <xsd:element ref="ns2:MediaServiceDateTaken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a9fb05f-576a-4ef7-9dd9-04970e5e276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2" nillable="true" ma:taxonomy="true" ma:internalName="lcf76f155ced4ddcb4097134ff3c332f" ma:taxonomyFieldName="MediaServiceImageTags" ma:displayName="Tag Gambar" ma:readOnly="false" ma:fieldId="{5cf76f15-5ced-4ddc-b409-7134ff3c332f}" ma:taxonomyMulti="true" ma:sspId="968afff7-01f7-4e82-8b62-4308ab2ee3b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17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2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22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dbe865d-62e8-4cc8-86de-422ab6f08057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1b4de1a8-21f2-413b-a78c-e4580cae7293}" ma:internalName="TaxCatchAll" ma:showField="CatchAllData" ma:web="7dbe865d-62e8-4cc8-86de-422ab6f0805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8" nillable="true" ma:displayName="Dibagikan Denga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Dibagikan Dengan Detail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e Isi"/>
        <xsd:element ref="dc:title" minOccurs="0" maxOccurs="1" ma:index="4" ma:displayName="Judu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ea9fb05f-576a-4ef7-9dd9-04970e5e2769">
      <Terms xmlns="http://schemas.microsoft.com/office/infopath/2007/PartnerControls"/>
    </lcf76f155ced4ddcb4097134ff3c332f>
    <TaxCatchAll xmlns="7dbe865d-62e8-4cc8-86de-422ab6f08057" xsi:nil="true"/>
  </documentManagement>
</p:properties>
</file>

<file path=customXml/itemProps1.xml><?xml version="1.0" encoding="utf-8"?>
<ds:datastoreItem xmlns:ds="http://schemas.openxmlformats.org/officeDocument/2006/customXml" ds:itemID="{1CC4A357-EE25-4319-B7C1-0E1D6585A24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66C2F23-2EF1-49B1-AE68-8D77D27C45E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a9fb05f-576a-4ef7-9dd9-04970e5e2769"/>
    <ds:schemaRef ds:uri="7dbe865d-62e8-4cc8-86de-422ab6f080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68CEF84-A72D-4DCB-BD85-D259DCC3F813}">
  <ds:schemaRefs>
    <ds:schemaRef ds:uri="http://schemas.openxmlformats.org/package/2006/metadata/core-properties"/>
    <ds:schemaRef ds:uri="http://purl.org/dc/terms/"/>
    <ds:schemaRef ds:uri="ea9fb05f-576a-4ef7-9dd9-04970e5e2769"/>
    <ds:schemaRef ds:uri="http://schemas.microsoft.com/office/2006/documentManagement/types"/>
    <ds:schemaRef ds:uri="7dbe865d-62e8-4cc8-86de-422ab6f08057"/>
    <ds:schemaRef ds:uri="http://purl.org/dc/dcmitype/"/>
    <ds:schemaRef ds:uri="http://purl.org/dc/elements/1.1/"/>
    <ds:schemaRef ds:uri="http://schemas.microsoft.com/office/infopath/2007/PartnerControls"/>
    <ds:schemaRef ds:uri="http://schemas.microsoft.com/office/2006/metadata/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56</vt:i4>
      </vt:variant>
    </vt:vector>
  </HeadingPairs>
  <TitlesOfParts>
    <vt:vector size="61" baseType="lpstr">
      <vt:lpstr>CHECKLIST RATING 1</vt:lpstr>
      <vt:lpstr>reting</vt:lpstr>
      <vt:lpstr>FORM RATING</vt:lpstr>
      <vt:lpstr>Data</vt:lpstr>
      <vt:lpstr>Sheet2</vt:lpstr>
      <vt:lpstr>'CHECKLIST RATING 1'!ER_1</vt:lpstr>
      <vt:lpstr>ER_1</vt:lpstr>
      <vt:lpstr>'CHECKLIST RATING 1'!ER_2</vt:lpstr>
      <vt:lpstr>ER_2</vt:lpstr>
      <vt:lpstr>'CHECKLIST RATING 1'!ER_3</vt:lpstr>
      <vt:lpstr>ER_3</vt:lpstr>
      <vt:lpstr>'CHECKLIST RATING 1'!ER_4</vt:lpstr>
      <vt:lpstr>ER_4</vt:lpstr>
      <vt:lpstr>'CHECKLIST RATING 1'!PPr_1</vt:lpstr>
      <vt:lpstr>PPr_1</vt:lpstr>
      <vt:lpstr>'CHECKLIST RATING 1'!PPr_2</vt:lpstr>
      <vt:lpstr>PPr_2</vt:lpstr>
      <vt:lpstr>'CHECKLIST RATING 1'!PPr_3</vt:lpstr>
      <vt:lpstr>PPr_3</vt:lpstr>
      <vt:lpstr>'CHECKLIST RATING 1'!PPs_1</vt:lpstr>
      <vt:lpstr>PPs_1</vt:lpstr>
      <vt:lpstr>'CHECKLIST RATING 1'!PPs_2</vt:lpstr>
      <vt:lpstr>PPs_2</vt:lpstr>
      <vt:lpstr>'CHECKLIST RATING 1'!PPs_3</vt:lpstr>
      <vt:lpstr>PPs_3</vt:lpstr>
      <vt:lpstr>'FORM RATING'!Print_Area</vt:lpstr>
      <vt:lpstr>'FORM RATING'!Print_Titles</vt:lpstr>
      <vt:lpstr>'CHECKLIST RATING 1'!rocktype</vt:lpstr>
      <vt:lpstr>rocktype</vt:lpstr>
      <vt:lpstr>'CHECKLIST RATING 1'!SC_1</vt:lpstr>
      <vt:lpstr>SC_1</vt:lpstr>
      <vt:lpstr>'CHECKLIST RATING 1'!SC_2</vt:lpstr>
      <vt:lpstr>SC_2</vt:lpstr>
      <vt:lpstr>'CHECKLIST RATING 1'!SC_3</vt:lpstr>
      <vt:lpstr>SC_3</vt:lpstr>
      <vt:lpstr>'CHECKLIST RATING 1'!SC_4</vt:lpstr>
      <vt:lpstr>SC_4</vt:lpstr>
      <vt:lpstr>'CHECKLIST RATING 1'!SC_5</vt:lpstr>
      <vt:lpstr>SC_5</vt:lpstr>
      <vt:lpstr>'CHECKLIST RATING 1'!SC_6</vt:lpstr>
      <vt:lpstr>SC_6</vt:lpstr>
      <vt:lpstr>'CHECKLIST RATING 1'!SC_7</vt:lpstr>
      <vt:lpstr>SC_7</vt:lpstr>
      <vt:lpstr>'CHECKLIST RATING 1'!SC_8</vt:lpstr>
      <vt:lpstr>SC_8</vt:lpstr>
      <vt:lpstr>'CHECKLIST RATING 1'!SCo_1</vt:lpstr>
      <vt:lpstr>SCo_1</vt:lpstr>
      <vt:lpstr>'CHECKLIST RATING 1'!SH</vt:lpstr>
      <vt:lpstr>SH</vt:lpstr>
      <vt:lpstr>'CHECKLIST RATING 1'!SoilType</vt:lpstr>
      <vt:lpstr>SoilType</vt:lpstr>
      <vt:lpstr>'CHECKLIST RATING 1'!ST_1</vt:lpstr>
      <vt:lpstr>ST_1</vt:lpstr>
      <vt:lpstr>'CHECKLIST RATING 1'!ST_2</vt:lpstr>
      <vt:lpstr>ST_2</vt:lpstr>
      <vt:lpstr>'CHECKLIST RATING 1'!ST_3</vt:lpstr>
      <vt:lpstr>ST_3</vt:lpstr>
      <vt:lpstr>'CHECKLIST RATING 1'!ST_4</vt:lpstr>
      <vt:lpstr>ST_4</vt:lpstr>
      <vt:lpstr>'CHECKLIST RATING 1'!weather</vt:lpstr>
      <vt:lpstr>weather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Admin</dc:creator>
  <cp:keywords/>
  <dc:description/>
  <cp:lastModifiedBy>Malik Maulana</cp:lastModifiedBy>
  <cp:revision/>
  <cp:lastPrinted>2024-12-11T09:46:40Z</cp:lastPrinted>
  <dcterms:created xsi:type="dcterms:W3CDTF">2020-06-19T12:02:06Z</dcterms:created>
  <dcterms:modified xsi:type="dcterms:W3CDTF">2024-12-15T13:10:11Z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0x010100F78DC322C004CC4D9FECFAE23CA7EDD3</vt:lpwstr>
  </property>
  <property fmtid="{D5CDD505-2E9C-101B-9397-08002B2CF9AE}" pid="3" name="MediaServiceImageTags">
    <vt:lpwstr/>
  </property>
</Properties>
</file>